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mul\Documents\"/>
    </mc:Choice>
  </mc:AlternateContent>
  <xr:revisionPtr revIDLastSave="0" documentId="13_ncr:1_{A733F13E-C0C4-4F71-B614-D45AD4C778D1}" xr6:coauthVersionLast="47" xr6:coauthVersionMax="47" xr10:uidLastSave="{00000000-0000-0000-0000-000000000000}"/>
  <bookViews>
    <workbookView xWindow="-120" yWindow="-120" windowWidth="29040" windowHeight="15720" activeTab="5" xr2:uid="{F2E716B4-DC0C-401F-8395-F5AC9CEB8046}"/>
  </bookViews>
  <sheets>
    <sheet name="죄종별 범죄발생 및 검거현황(서울)" sheetId="1" r:id="rId1"/>
    <sheet name="범죄 발생 및 검거 현황(서울청)" sheetId="4" r:id="rId2"/>
    <sheet name="범죄발생지" sheetId="6" r:id="rId3"/>
    <sheet name="범죄발생 지역" sheetId="11" r:id="rId4"/>
    <sheet name="범죄발생 장소" sheetId="12" r:id="rId5"/>
    <sheet name="범죄발생 시간" sheetId="13" r:id="rId6"/>
    <sheet name="피해자 성별 연령" sheetId="15" r:id="rId7"/>
    <sheet name="범죄자와 피해자와의 관계" sheetId="1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5" l="1"/>
  <c r="F3" i="15"/>
  <c r="G3" i="15"/>
  <c r="H3" i="15"/>
  <c r="I3" i="15"/>
  <c r="J3" i="15"/>
  <c r="K3" i="15"/>
  <c r="L3" i="15"/>
  <c r="M3" i="15"/>
  <c r="E4" i="15"/>
  <c r="F4" i="15"/>
  <c r="G4" i="15"/>
  <c r="H4" i="15"/>
  <c r="I4" i="15"/>
  <c r="J4" i="15"/>
  <c r="K4" i="15"/>
  <c r="L4" i="15"/>
  <c r="M4" i="15"/>
  <c r="E5" i="15"/>
  <c r="F5" i="15"/>
  <c r="G5" i="15"/>
  <c r="H5" i="15"/>
  <c r="I5" i="15"/>
  <c r="J5" i="15"/>
  <c r="K5" i="15"/>
  <c r="L5" i="15"/>
  <c r="M5" i="15"/>
  <c r="E6" i="15"/>
  <c r="F6" i="15"/>
  <c r="G6" i="15"/>
  <c r="H6" i="15"/>
  <c r="I6" i="15"/>
  <c r="J6" i="15"/>
  <c r="K6" i="15"/>
  <c r="L6" i="15"/>
  <c r="M6" i="15"/>
  <c r="E7" i="15"/>
  <c r="F7" i="15"/>
  <c r="G7" i="15"/>
  <c r="H7" i="15"/>
  <c r="I7" i="15"/>
  <c r="J7" i="15"/>
  <c r="K7" i="15"/>
  <c r="L7" i="15"/>
  <c r="M7" i="15"/>
  <c r="E8" i="15"/>
  <c r="F8" i="15"/>
  <c r="G8" i="15"/>
  <c r="H8" i="15"/>
  <c r="I8" i="15"/>
  <c r="J8" i="15"/>
  <c r="K8" i="15"/>
  <c r="L8" i="15"/>
  <c r="M8" i="15"/>
  <c r="E9" i="15"/>
  <c r="F9" i="15"/>
  <c r="G9" i="15"/>
  <c r="H9" i="15"/>
  <c r="I9" i="15"/>
  <c r="J9" i="15"/>
  <c r="K9" i="15"/>
  <c r="L9" i="15"/>
  <c r="M9" i="15"/>
  <c r="E10" i="15"/>
  <c r="F10" i="15"/>
  <c r="G10" i="15"/>
  <c r="H10" i="15"/>
  <c r="I10" i="15"/>
  <c r="J10" i="15"/>
  <c r="K10" i="15"/>
  <c r="L10" i="15"/>
  <c r="M10" i="15"/>
  <c r="E11" i="15"/>
  <c r="F11" i="15"/>
  <c r="G11" i="15"/>
  <c r="H11" i="15"/>
  <c r="I11" i="15"/>
  <c r="J11" i="15"/>
  <c r="K11" i="15"/>
  <c r="L11" i="15"/>
  <c r="M11" i="15"/>
  <c r="E12" i="15"/>
  <c r="F12" i="15"/>
  <c r="G12" i="15"/>
  <c r="H12" i="15"/>
  <c r="I12" i="15"/>
  <c r="J12" i="15"/>
  <c r="K12" i="15"/>
  <c r="L12" i="15"/>
  <c r="M12" i="15"/>
  <c r="E13" i="15"/>
  <c r="F13" i="15"/>
  <c r="G13" i="15"/>
  <c r="H13" i="15"/>
  <c r="I13" i="15"/>
  <c r="J13" i="15"/>
  <c r="K13" i="15"/>
  <c r="L13" i="15"/>
  <c r="M13" i="15"/>
  <c r="F2" i="15"/>
  <c r="G2" i="15"/>
  <c r="H2" i="15"/>
  <c r="I2" i="15"/>
  <c r="J2" i="15"/>
  <c r="K2" i="15"/>
  <c r="L2" i="15"/>
  <c r="M2" i="15"/>
  <c r="E2" i="1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C06D13-A172-4AEA-AB11-E113D3CC6337}" keepAlive="1" name="쿼리 - 표1" description="통합 문서의 '표1' 쿼리에 대한 연결입니다." type="5" refreshedVersion="0" background="1">
    <dbPr connection="Provider=Microsoft.Mashup.OleDb.1;Data Source=$Workbook$;Location=표1;Extended Properties=&quot;&quot;" command="SELECT * FROM [표1]"/>
  </connection>
  <connection id="2" xr16:uid="{31340444-8E8E-4730-9B15-1F2B0B5AB071}" keepAlive="1" name="쿼리 - 표4" description="통합 문서의 '표4' 쿼리에 대한 연결입니다." type="5" refreshedVersion="0" background="1">
    <dbPr connection="Provider=Microsoft.Mashup.OleDb.1;Data Source=$Workbook$;Location=표4;Extended Properties=&quot;&quot;" command="SELECT * FROM [표4]"/>
  </connection>
</connections>
</file>

<file path=xl/sharedStrings.xml><?xml version="1.0" encoding="utf-8"?>
<sst xmlns="http://schemas.openxmlformats.org/spreadsheetml/2006/main" count="385" uniqueCount="140">
  <si>
    <t>약취·유인</t>
  </si>
  <si>
    <t>구분별(1)</t>
  </si>
  <si>
    <t>구분별(2)</t>
  </si>
  <si>
    <t>구분별(3)</t>
  </si>
  <si>
    <t>2021.3/4</t>
  </si>
  <si>
    <t>2021.4/4</t>
  </si>
  <si>
    <t>2022.1/4</t>
  </si>
  <si>
    <t>2022.2/4</t>
  </si>
  <si>
    <t>발생건수 (건)</t>
  </si>
  <si>
    <t>검거건수 (건)</t>
  </si>
  <si>
    <t>발생건수대비검거건수 (%)</t>
  </si>
  <si>
    <t>검거인원 (명)</t>
  </si>
  <si>
    <t>폭력범</t>
  </si>
  <si>
    <t>형법범</t>
  </si>
  <si>
    <t>2022.4/4</t>
    <phoneticPr fontId="19" type="noConversion"/>
  </si>
  <si>
    <t>2022.3/4</t>
    <phoneticPr fontId="19" type="noConversion"/>
  </si>
  <si>
    <t>시점</t>
  </si>
  <si>
    <t>시점</t>
    <phoneticPr fontId="19" type="noConversion"/>
  </si>
  <si>
    <t>약취·유인</t>
    <phoneticPr fontId="19" type="noConversion"/>
  </si>
  <si>
    <t>발생건수[건]</t>
  </si>
  <si>
    <t>검거건수[건]</t>
  </si>
  <si>
    <t>발생건수 대비 검거건수[%]</t>
  </si>
  <si>
    <t>검거인원[명]</t>
  </si>
  <si>
    <t>약취·유인(미성년자)</t>
  </si>
  <si>
    <t>약취·유인(추행·간음·결혼·영리)</t>
  </si>
  <si>
    <t>죄종별</t>
  </si>
  <si>
    <t>연도</t>
  </si>
  <si>
    <t>약취와 유인</t>
  </si>
  <si>
    <t>범죄별(1)</t>
  </si>
  <si>
    <t>범죄별(2)</t>
  </si>
  <si>
    <t>범죄별(3)</t>
  </si>
  <si>
    <t>서울</t>
  </si>
  <si>
    <t>부산</t>
  </si>
  <si>
    <t>대구</t>
  </si>
  <si>
    <t>인천</t>
  </si>
  <si>
    <t>광주</t>
  </si>
  <si>
    <t>대전</t>
  </si>
  <si>
    <t>울산</t>
  </si>
  <si>
    <t>강력범죄(폭력)</t>
  </si>
  <si>
    <t>연도</t>
    <phoneticPr fontId="19" type="noConversion"/>
  </si>
  <si>
    <t>종로구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</si>
  <si>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</si>
  <si>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</si>
  <si>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</si>
  <si>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</si>
  <si>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</si>
  <si>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</si>
  <si>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</si>
  <si>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</si>
  <si>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</si>
  <si>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</si>
  <si>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</si>
  <si>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</si>
  <si>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</si>
  <si>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</si>
  <si>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</si>
  <si>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</si>
  <si>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</si>
  <si>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</si>
  <si>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</si>
  <si>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</si>
  <si>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</si>
  <si>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</si>
  <si>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</si>
  <si>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계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</si>
  <si>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</si>
  <si>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</si>
  <si>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</si>
  <si>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</si>
  <si>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</si>
  <si>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</si>
  <si>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</si>
  <si>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</si>
  <si>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</si>
  <si>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</si>
  <si>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범죄발생총건수(A) (건)</t>
  </si>
  <si>
    <t>인구(B) (명)</t>
  </si>
  <si>
    <t>A/Bⅹ100,000 (건/10만명)</t>
  </si>
  <si>
    <t>합계</t>
  </si>
  <si>
    <t>아파트ㆍ연립ㆍ다세대</t>
  </si>
  <si>
    <t>단독주택</t>
  </si>
  <si>
    <t>노상</t>
  </si>
  <si>
    <t>상점</t>
  </si>
  <si>
    <t>시장노점</t>
  </si>
  <si>
    <t>숙박업소ㆍ 목욕탕</t>
  </si>
  <si>
    <t>유흥접객업소</t>
  </si>
  <si>
    <t>사무실</t>
  </si>
  <si>
    <t>공장</t>
  </si>
  <si>
    <t>역대합실</t>
  </si>
  <si>
    <t>지하철</t>
  </si>
  <si>
    <t>기타교통수단내</t>
  </si>
  <si>
    <t>유원지</t>
  </si>
  <si>
    <t>학교</t>
  </si>
  <si>
    <t>금융기관</t>
  </si>
  <si>
    <t>의료기관</t>
  </si>
  <si>
    <t>종교기관</t>
  </si>
  <si>
    <t>산야</t>
  </si>
  <si>
    <t>해상</t>
  </si>
  <si>
    <t>기타</t>
  </si>
  <si>
    <t>00:00-02:59</t>
  </si>
  <si>
    <t>03:00-05:59</t>
  </si>
  <si>
    <t>06:00-08:59</t>
  </si>
  <si>
    <t>09:00-11:59</t>
  </si>
  <si>
    <t>12:00-14:59</t>
  </si>
  <si>
    <t>15:00-17:59</t>
  </si>
  <si>
    <t>18:00-20:59</t>
  </si>
  <si>
    <t>21:00-23:59</t>
  </si>
  <si>
    <t>미상</t>
  </si>
  <si>
    <t>약취와유인</t>
  </si>
  <si>
    <t>남자</t>
  </si>
  <si>
    <t>6세이하</t>
  </si>
  <si>
    <t>12세이하</t>
  </si>
  <si>
    <t>15세이하</t>
  </si>
  <si>
    <t>20세이하</t>
  </si>
  <si>
    <t>30세이하</t>
  </si>
  <si>
    <t>40세이하</t>
  </si>
  <si>
    <t>50세이하</t>
  </si>
  <si>
    <t>60세이하</t>
  </si>
  <si>
    <t>60세초과</t>
  </si>
  <si>
    <t>여자</t>
  </si>
  <si>
    <t>죄종별(1)</t>
  </si>
  <si>
    <t>죄종별(2)</t>
  </si>
  <si>
    <t>약취・유인</t>
  </si>
  <si>
    <t>성별</t>
    <phoneticPr fontId="19" type="noConversion"/>
  </si>
  <si>
    <t>죄종별</t>
    <phoneticPr fontId="19" type="noConversion"/>
  </si>
  <si>
    <t>범죄별</t>
    <phoneticPr fontId="19" type="noConversion"/>
  </si>
  <si>
    <t>국가</t>
  </si>
  <si>
    <t>고용자</t>
  </si>
  <si>
    <t>피고용자</t>
  </si>
  <si>
    <t>직장동료</t>
  </si>
  <si>
    <t>친구</t>
  </si>
  <si>
    <t>애인</t>
  </si>
  <si>
    <t>동거친족</t>
  </si>
  <si>
    <t>기타친족</t>
  </si>
  <si>
    <t>거래상대방</t>
  </si>
  <si>
    <t>이웃</t>
  </si>
  <si>
    <t>지인</t>
  </si>
  <si>
    <t>타인</t>
  </si>
  <si>
    <t>폭력범죄</t>
  </si>
  <si>
    <t>중구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</si>
</sst>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#,##0.0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8"/>
      <name val="Arial"/>
      <family val="2"/>
    </font>
    <font>
      <u/>
      <sz val="8"/>
      <color indexed="12"/>
      <name val="Arial"/>
      <family val="2"/>
    </font>
    <font>
      <b/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47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20" fillId="0" borderId="0" applyNumberFormat="0" applyFill="0" applyBorder="0" applyProtection="0"/>
    <xf numFmtId="0" fontId="20" fillId="0" borderId="0" applyNumberFormat="0" applyFill="0" applyBorder="0" applyProtection="0"/>
    <xf numFmtId="0" fontId="21" fillId="0" borderId="0" applyNumberFormat="0" applyFill="0" applyBorder="0" applyProtection="0"/>
    <xf numFmtId="0" fontId="22" fillId="0" borderId="0" applyNumberFormat="0" applyFill="0" applyBorder="0" applyProtection="0"/>
  </cellStyleXfs>
  <cellXfs count="65">
    <xf numFmtId="0" fontId="0" fillId="0" borderId="0" xfId="0">
      <alignment vertical="center"/>
    </xf>
    <xf numFmtId="3" fontId="18" fillId="0" borderId="10" xfId="42" applyNumberFormat="1" applyBorder="1" applyAlignment="1">
      <alignment horizontal="right"/>
    </xf>
    <xf numFmtId="180" fontId="18" fillId="0" borderId="10" xfId="42" applyNumberFormat="1" applyBorder="1" applyAlignment="1">
      <alignment horizontal="right"/>
    </xf>
    <xf numFmtId="0" fontId="18" fillId="34" borderId="10" xfId="42" applyFill="1" applyBorder="1" applyAlignment="1"/>
    <xf numFmtId="0" fontId="18" fillId="34" borderId="10" xfId="42" applyFill="1" applyBorder="1" applyAlignment="1"/>
    <xf numFmtId="0" fontId="18" fillId="36" borderId="12" xfId="42" applyFill="1" applyBorder="1" applyAlignment="1"/>
    <xf numFmtId="0" fontId="18" fillId="36" borderId="10" xfId="42" applyFill="1" applyBorder="1" applyAlignment="1"/>
    <xf numFmtId="0" fontId="0" fillId="36" borderId="10" xfId="0" applyFill="1" applyBorder="1">
      <alignment vertical="center"/>
    </xf>
    <xf numFmtId="0" fontId="0" fillId="0" borderId="12" xfId="0" applyBorder="1">
      <alignment vertical="center"/>
    </xf>
    <xf numFmtId="3" fontId="18" fillId="0" borderId="10" xfId="42" applyNumberFormat="1" applyBorder="1" applyAlignment="1">
      <alignment horizontal="right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18" fillId="34" borderId="10" xfId="42" applyFill="1" applyBorder="1" applyAlignment="1"/>
    <xf numFmtId="0" fontId="0" fillId="0" borderId="13" xfId="0" applyBorder="1">
      <alignment vertical="center"/>
    </xf>
    <xf numFmtId="3" fontId="18" fillId="0" borderId="10" xfId="42" applyNumberFormat="1" applyBorder="1" applyAlignment="1">
      <alignment horizontal="right"/>
    </xf>
    <xf numFmtId="3" fontId="18" fillId="0" borderId="10" xfId="42" applyNumberFormat="1" applyBorder="1" applyAlignment="1">
      <alignment horizontal="right"/>
    </xf>
    <xf numFmtId="0" fontId="18" fillId="34" borderId="10" xfId="42" applyFill="1" applyBorder="1" applyAlignment="1"/>
    <xf numFmtId="3" fontId="18" fillId="0" borderId="10" xfId="42" applyNumberFormat="1" applyBorder="1" applyAlignment="1">
      <alignment horizontal="right"/>
    </xf>
    <xf numFmtId="3" fontId="18" fillId="0" borderId="10" xfId="42" applyNumberFormat="1" applyBorder="1" applyAlignment="1">
      <alignment horizontal="right"/>
    </xf>
    <xf numFmtId="3" fontId="18" fillId="0" borderId="10" xfId="42" applyNumberFormat="1" applyBorder="1" applyAlignment="1">
      <alignment horizontal="right"/>
    </xf>
    <xf numFmtId="0" fontId="18" fillId="34" borderId="10" xfId="42" applyFill="1" applyBorder="1" applyAlignment="1"/>
    <xf numFmtId="3" fontId="18" fillId="0" borderId="10" xfId="42" applyNumberFormat="1" applyBorder="1" applyAlignment="1">
      <alignment horizontal="right"/>
    </xf>
    <xf numFmtId="3" fontId="18" fillId="0" borderId="10" xfId="42" applyNumberFormat="1" applyBorder="1" applyAlignment="1">
      <alignment horizontal="right"/>
    </xf>
    <xf numFmtId="3" fontId="18" fillId="0" borderId="10" xfId="42" applyNumberFormat="1" applyBorder="1" applyAlignment="1">
      <alignment horizontal="right"/>
    </xf>
    <xf numFmtId="3" fontId="18" fillId="0" borderId="10" xfId="42" applyNumberFormat="1" applyBorder="1" applyAlignment="1">
      <alignment horizontal="right"/>
    </xf>
    <xf numFmtId="3" fontId="18" fillId="0" borderId="10" xfId="42" applyNumberFormat="1" applyBorder="1" applyAlignment="1">
      <alignment horizontal="right"/>
    </xf>
    <xf numFmtId="0" fontId="18" fillId="35" borderId="12" xfId="42" applyNumberFormat="1" applyFill="1" applyBorder="1" applyAlignment="1"/>
    <xf numFmtId="0" fontId="18" fillId="33" borderId="10" xfId="42" applyFill="1" applyBorder="1" applyAlignment="1">
      <alignment vertical="center"/>
    </xf>
    <xf numFmtId="0" fontId="18" fillId="34" borderId="10" xfId="42" applyFill="1" applyBorder="1" applyAlignment="1"/>
    <xf numFmtId="3" fontId="18" fillId="0" borderId="10" xfId="42" applyNumberFormat="1" applyBorder="1" applyAlignment="1">
      <alignment horizontal="right"/>
    </xf>
    <xf numFmtId="0" fontId="18" fillId="36" borderId="12" xfId="42" applyNumberFormat="1" applyFill="1" applyBorder="1" applyAlignment="1"/>
    <xf numFmtId="3" fontId="18" fillId="0" borderId="10" xfId="42" applyNumberFormat="1" applyBorder="1" applyAlignment="1">
      <alignment horizontal="right"/>
    </xf>
    <xf numFmtId="3" fontId="18" fillId="0" borderId="10" xfId="42" applyNumberFormat="1" applyBorder="1" applyAlignment="1">
      <alignment horizontal="right"/>
    </xf>
    <xf numFmtId="3" fontId="18" fillId="0" borderId="10" xfId="42" applyNumberFormat="1" applyBorder="1" applyAlignment="1">
      <alignment horizontal="right"/>
    </xf>
    <xf numFmtId="180" fontId="18" fillId="0" borderId="10" xfId="42" applyNumberFormat="1" applyBorder="1" applyAlignment="1">
      <alignment horizontal="right"/>
    </xf>
    <xf numFmtId="0" fontId="18" fillId="36" borderId="10" xfId="42" applyNumberFormat="1" applyFill="1" applyBorder="1" applyAlignment="1"/>
    <xf numFmtId="0" fontId="18" fillId="33" borderId="12" xfId="42" applyFill="1" applyBorder="1" applyAlignment="1">
      <alignment vertical="center"/>
    </xf>
    <xf numFmtId="0" fontId="18" fillId="33" borderId="10" xfId="42" applyFill="1" applyBorder="1" applyAlignment="1">
      <alignment vertical="center"/>
    </xf>
    <xf numFmtId="0" fontId="18" fillId="34" borderId="10" xfId="42" applyFill="1" applyBorder="1" applyAlignment="1"/>
    <xf numFmtId="3" fontId="18" fillId="0" borderId="10" xfId="42" applyNumberFormat="1" applyBorder="1" applyAlignment="1">
      <alignment horizontal="right"/>
    </xf>
    <xf numFmtId="0" fontId="18" fillId="35" borderId="12" xfId="42" applyFill="1" applyBorder="1" applyAlignment="1"/>
    <xf numFmtId="0" fontId="18" fillId="35" borderId="10" xfId="42" applyNumberFormat="1" applyFill="1" applyBorder="1" applyAlignment="1"/>
    <xf numFmtId="3" fontId="18" fillId="0" borderId="10" xfId="42" applyNumberFormat="1" applyBorder="1" applyAlignment="1">
      <alignment horizontal="right"/>
    </xf>
    <xf numFmtId="0" fontId="18" fillId="35" borderId="12" xfId="42" applyFill="1" applyBorder="1" applyAlignment="1"/>
    <xf numFmtId="0" fontId="18" fillId="35" borderId="10" xfId="42" applyFill="1" applyBorder="1" applyAlignment="1"/>
    <xf numFmtId="0" fontId="18" fillId="35" borderId="17" xfId="42" applyFill="1" applyBorder="1" applyAlignment="1"/>
    <xf numFmtId="0" fontId="18" fillId="33" borderId="10" xfId="42" applyFill="1" applyBorder="1" applyAlignment="1">
      <alignment vertical="center"/>
    </xf>
    <xf numFmtId="0" fontId="18" fillId="34" borderId="10" xfId="42" applyFill="1" applyBorder="1" applyAlignment="1"/>
    <xf numFmtId="3" fontId="18" fillId="0" borderId="10" xfId="42" applyNumberFormat="1" applyBorder="1" applyAlignment="1">
      <alignment horizontal="right"/>
    </xf>
    <xf numFmtId="0" fontId="18" fillId="35" borderId="12" xfId="42" applyFill="1" applyBorder="1" applyAlignment="1"/>
    <xf numFmtId="0" fontId="18" fillId="35" borderId="10" xfId="42" applyFill="1" applyBorder="1" applyAlignment="1"/>
    <xf numFmtId="0" fontId="18" fillId="33" borderId="10" xfId="42" applyFill="1" applyBorder="1" applyAlignment="1">
      <alignment vertical="center"/>
    </xf>
    <xf numFmtId="0" fontId="18" fillId="34" borderId="10" xfId="42" applyFill="1" applyBorder="1" applyAlignment="1"/>
    <xf numFmtId="3" fontId="18" fillId="0" borderId="10" xfId="42" applyNumberFormat="1" applyBorder="1" applyAlignment="1">
      <alignment horizontal="right"/>
    </xf>
    <xf numFmtId="0" fontId="18" fillId="34" borderId="10" xfId="42" applyFill="1" applyBorder="1" applyAlignment="1"/>
    <xf numFmtId="3" fontId="18" fillId="0" borderId="10" xfId="42" applyNumberFormat="1" applyBorder="1" applyAlignment="1">
      <alignment horizontal="right"/>
    </xf>
    <xf numFmtId="0" fontId="18" fillId="35" borderId="11" xfId="42" applyFill="1" applyBorder="1" applyAlignment="1"/>
    <xf numFmtId="0" fontId="18" fillId="35" borderId="15" xfId="42" applyNumberFormat="1" applyFill="1" applyBorder="1" applyAlignment="1"/>
    <xf numFmtId="0" fontId="18" fillId="35" borderId="13" xfId="42" applyFill="1" applyBorder="1" applyAlignment="1"/>
    <xf numFmtId="0" fontId="18" fillId="33" borderId="10" xfId="42" applyFill="1" applyBorder="1" applyAlignment="1">
      <alignment vertical="center"/>
    </xf>
    <xf numFmtId="0" fontId="18" fillId="35" borderId="16" xfId="42" applyFill="1" applyBorder="1" applyAlignment="1"/>
    <xf numFmtId="3" fontId="18" fillId="0" borderId="10" xfId="42" applyNumberFormat="1" applyBorder="1" applyAlignment="1">
      <alignment horizontal="right"/>
    </xf>
    <xf numFmtId="0" fontId="18" fillId="35" borderId="12" xfId="42" applyFill="1" applyBorder="1" applyAlignment="1"/>
    <xf numFmtId="0" fontId="18" fillId="35" borderId="14" xfId="42" applyNumberFormat="1" applyFill="1" applyBorder="1" applyAlignment="1"/>
    <xf numFmtId="0" fontId="18" fillId="35" borderId="12" xfId="42" applyFill="1" applyBorder="1" applyAlignment="1"/>
  </cellXfs>
  <cellStyles count="47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Header" xfId="44" xr:uid="{DAE0A279-60A0-409A-BC5D-D57AB319C330}"/>
    <cellStyle name="Hyperlink" xfId="45" xr:uid="{C0F330F5-D403-4108-B325-17344BB76E1D}"/>
    <cellStyle name="Title" xfId="46" xr:uid="{47192D8C-C7D4-42EB-B00B-EFC0F3CD31E8}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2" xr:uid="{4A23A9DE-9AE3-4E96-B418-69A2913FAA60}"/>
    <cellStyle name="표준 3" xfId="43" xr:uid="{A3724798-DF65-45D0-9F92-832539F885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B3B03-4DD1-4B6E-AC3F-C9D2A10DA6DF}">
  <dimension ref="A1:H7"/>
  <sheetViews>
    <sheetView zoomScaleNormal="100" workbookViewId="0">
      <selection activeCell="C4" sqref="C4"/>
    </sheetView>
  </sheetViews>
  <sheetFormatPr defaultRowHeight="16.5" x14ac:dyDescent="0.3"/>
  <cols>
    <col min="5" max="6" width="13" bestFit="1" customWidth="1"/>
    <col min="7" max="7" width="25.25" bestFit="1" customWidth="1"/>
    <col min="8" max="8" width="15.5" customWidth="1"/>
  </cols>
  <sheetData>
    <row r="1" spans="1:8" x14ac:dyDescent="0.3">
      <c r="A1" s="4" t="s">
        <v>1</v>
      </c>
      <c r="B1" s="4" t="s">
        <v>2</v>
      </c>
      <c r="C1" s="4" t="s">
        <v>3</v>
      </c>
      <c r="D1" s="4" t="s">
        <v>17</v>
      </c>
      <c r="E1" s="3" t="s">
        <v>8</v>
      </c>
      <c r="F1" s="3" t="s">
        <v>9</v>
      </c>
      <c r="G1" s="3" t="s">
        <v>10</v>
      </c>
      <c r="H1" s="3" t="s">
        <v>11</v>
      </c>
    </row>
    <row r="2" spans="1:8" x14ac:dyDescent="0.3">
      <c r="A2" s="5" t="s">
        <v>13</v>
      </c>
      <c r="B2" s="5" t="s">
        <v>12</v>
      </c>
      <c r="C2" s="5" t="s">
        <v>18</v>
      </c>
      <c r="D2" s="6" t="s">
        <v>4</v>
      </c>
      <c r="E2" s="1">
        <v>21</v>
      </c>
      <c r="F2" s="1">
        <v>12</v>
      </c>
      <c r="G2" s="2">
        <v>57.1</v>
      </c>
      <c r="H2" s="1">
        <v>32</v>
      </c>
    </row>
    <row r="3" spans="1:8" x14ac:dyDescent="0.3">
      <c r="A3" s="5" t="s">
        <v>13</v>
      </c>
      <c r="B3" s="5" t="s">
        <v>12</v>
      </c>
      <c r="C3" s="5" t="s">
        <v>0</v>
      </c>
      <c r="D3" s="7" t="s">
        <v>5</v>
      </c>
      <c r="E3" s="1">
        <v>8</v>
      </c>
      <c r="F3" s="1">
        <v>7</v>
      </c>
      <c r="G3" s="2">
        <v>87.5</v>
      </c>
      <c r="H3" s="1">
        <v>16</v>
      </c>
    </row>
    <row r="4" spans="1:8" x14ac:dyDescent="0.3">
      <c r="A4" s="5" t="s">
        <v>13</v>
      </c>
      <c r="B4" s="5" t="s">
        <v>12</v>
      </c>
      <c r="C4" s="5" t="s">
        <v>18</v>
      </c>
      <c r="D4" s="7" t="s">
        <v>6</v>
      </c>
      <c r="E4" s="1">
        <v>13</v>
      </c>
      <c r="F4" s="1">
        <v>10</v>
      </c>
      <c r="G4" s="2">
        <v>76.900000000000006</v>
      </c>
      <c r="H4" s="1">
        <v>13</v>
      </c>
    </row>
    <row r="5" spans="1:8" x14ac:dyDescent="0.3">
      <c r="A5" s="5" t="s">
        <v>13</v>
      </c>
      <c r="B5" s="5" t="s">
        <v>12</v>
      </c>
      <c r="C5" s="5" t="s">
        <v>0</v>
      </c>
      <c r="D5" s="7" t="s">
        <v>7</v>
      </c>
      <c r="E5" s="1">
        <v>20</v>
      </c>
      <c r="F5" s="1">
        <v>16</v>
      </c>
      <c r="G5" s="2">
        <v>80</v>
      </c>
      <c r="H5" s="1">
        <v>28</v>
      </c>
    </row>
    <row r="6" spans="1:8" x14ac:dyDescent="0.3">
      <c r="A6" s="5" t="s">
        <v>13</v>
      </c>
      <c r="B6" s="5" t="s">
        <v>12</v>
      </c>
      <c r="C6" s="5" t="s">
        <v>0</v>
      </c>
      <c r="D6" s="7" t="s">
        <v>15</v>
      </c>
      <c r="E6" s="1">
        <v>24</v>
      </c>
      <c r="F6" s="1">
        <v>18</v>
      </c>
      <c r="G6" s="2">
        <v>75</v>
      </c>
      <c r="H6" s="1">
        <v>20</v>
      </c>
    </row>
    <row r="7" spans="1:8" x14ac:dyDescent="0.3">
      <c r="A7" s="6" t="s">
        <v>13</v>
      </c>
      <c r="B7" s="6" t="s">
        <v>12</v>
      </c>
      <c r="C7" s="6" t="s">
        <v>0</v>
      </c>
      <c r="D7" s="7" t="s">
        <v>14</v>
      </c>
      <c r="E7" s="1">
        <v>17</v>
      </c>
      <c r="F7" s="1">
        <v>21</v>
      </c>
      <c r="G7" s="2">
        <v>123.5</v>
      </c>
      <c r="H7" s="1">
        <v>28</v>
      </c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111FF-1B8A-47C4-9420-B21D4CB6900E}">
  <dimension ref="A1:F35"/>
  <sheetViews>
    <sheetView workbookViewId="0"/>
  </sheetViews>
  <sheetFormatPr defaultRowHeight="16.5" x14ac:dyDescent="0.3"/>
  <cols>
    <col min="1" max="1" width="28.625" bestFit="1" customWidth="1"/>
    <col min="3" max="4" width="12.375" bestFit="1" customWidth="1"/>
    <col min="5" max="5" width="26" bestFit="1" customWidth="1"/>
    <col min="6" max="6" width="12.375" bestFit="1" customWidth="1"/>
  </cols>
  <sheetData>
    <row r="1" spans="1:6" x14ac:dyDescent="0.3">
      <c r="A1" s="4" t="s">
        <v>25</v>
      </c>
      <c r="B1" s="4" t="s">
        <v>26</v>
      </c>
      <c r="C1" s="4" t="s">
        <v>19</v>
      </c>
      <c r="D1" s="4" t="s">
        <v>20</v>
      </c>
      <c r="E1" s="4" t="s">
        <v>21</v>
      </c>
      <c r="F1" s="4" t="s">
        <v>22</v>
      </c>
    </row>
    <row r="2" spans="1:6" x14ac:dyDescent="0.3">
      <c r="A2" s="8" t="s">
        <v>0</v>
      </c>
      <c r="B2" s="10">
        <v>2011</v>
      </c>
      <c r="C2" s="10">
        <v>65</v>
      </c>
      <c r="D2" s="10">
        <v>57</v>
      </c>
      <c r="E2" s="10">
        <v>87.692307692300005</v>
      </c>
      <c r="F2" s="10">
        <v>107</v>
      </c>
    </row>
    <row r="3" spans="1:6" x14ac:dyDescent="0.3">
      <c r="A3" s="11" t="s">
        <v>0</v>
      </c>
      <c r="B3" s="10">
        <v>2012</v>
      </c>
      <c r="C3" s="10">
        <v>48</v>
      </c>
      <c r="D3" s="10">
        <v>43</v>
      </c>
      <c r="E3" s="10">
        <v>89.6</v>
      </c>
      <c r="F3" s="10">
        <v>77</v>
      </c>
    </row>
    <row r="4" spans="1:6" x14ac:dyDescent="0.3">
      <c r="A4" s="11" t="s">
        <v>0</v>
      </c>
      <c r="B4" s="10">
        <v>2013</v>
      </c>
      <c r="C4" s="10">
        <v>40</v>
      </c>
      <c r="D4" s="10">
        <v>34</v>
      </c>
      <c r="E4" s="10">
        <v>85</v>
      </c>
      <c r="F4" s="10">
        <v>65</v>
      </c>
    </row>
    <row r="5" spans="1:6" x14ac:dyDescent="0.3">
      <c r="A5" s="11" t="s">
        <v>0</v>
      </c>
      <c r="B5" s="10">
        <v>2014</v>
      </c>
      <c r="C5" s="10">
        <v>39</v>
      </c>
      <c r="D5" s="10">
        <v>35</v>
      </c>
      <c r="E5" s="10">
        <v>89.7</v>
      </c>
      <c r="F5" s="10">
        <v>57</v>
      </c>
    </row>
    <row r="6" spans="1:6" x14ac:dyDescent="0.3">
      <c r="A6" s="11" t="s">
        <v>0</v>
      </c>
      <c r="B6" s="10">
        <v>2015</v>
      </c>
      <c r="C6" s="10">
        <v>44</v>
      </c>
      <c r="D6" s="10">
        <v>37</v>
      </c>
      <c r="E6" s="10">
        <v>84.1</v>
      </c>
      <c r="F6" s="10">
        <v>70</v>
      </c>
    </row>
    <row r="7" spans="1:6" x14ac:dyDescent="0.3">
      <c r="A7" s="11" t="s">
        <v>0</v>
      </c>
      <c r="B7" s="10">
        <v>2016</v>
      </c>
      <c r="C7" s="10">
        <v>36</v>
      </c>
      <c r="D7" s="10">
        <v>29</v>
      </c>
      <c r="E7" s="10">
        <v>80.599999999999994</v>
      </c>
      <c r="F7" s="10">
        <v>58</v>
      </c>
    </row>
    <row r="8" spans="1:6" x14ac:dyDescent="0.3">
      <c r="A8" s="11" t="s">
        <v>0</v>
      </c>
      <c r="B8" s="10">
        <v>2017</v>
      </c>
      <c r="C8" s="10">
        <v>50</v>
      </c>
      <c r="D8" s="10">
        <v>47</v>
      </c>
      <c r="E8" s="10">
        <v>94</v>
      </c>
      <c r="F8" s="10">
        <v>86</v>
      </c>
    </row>
    <row r="9" spans="1:6" x14ac:dyDescent="0.3">
      <c r="A9" s="11" t="s">
        <v>0</v>
      </c>
      <c r="B9" s="10">
        <v>2018</v>
      </c>
      <c r="C9" s="10">
        <v>47</v>
      </c>
      <c r="D9" s="10">
        <v>43</v>
      </c>
      <c r="E9" s="10">
        <v>91.5</v>
      </c>
      <c r="F9" s="10">
        <v>69</v>
      </c>
    </row>
    <row r="10" spans="1:6" x14ac:dyDescent="0.3">
      <c r="A10" s="11" t="s">
        <v>0</v>
      </c>
      <c r="B10" s="10">
        <v>2019</v>
      </c>
      <c r="C10" s="10">
        <v>62</v>
      </c>
      <c r="D10" s="10">
        <v>52</v>
      </c>
      <c r="E10" s="10">
        <v>83.9</v>
      </c>
      <c r="F10" s="10">
        <v>86</v>
      </c>
    </row>
    <row r="11" spans="1:6" x14ac:dyDescent="0.3">
      <c r="A11" s="11" t="s">
        <v>0</v>
      </c>
      <c r="B11" s="10">
        <v>2020</v>
      </c>
      <c r="C11" s="10">
        <v>53</v>
      </c>
      <c r="D11" s="10">
        <v>45</v>
      </c>
      <c r="E11" s="10">
        <v>84.9</v>
      </c>
      <c r="F11" s="10">
        <v>67</v>
      </c>
    </row>
    <row r="12" spans="1:6" x14ac:dyDescent="0.3">
      <c r="A12" s="11" t="s">
        <v>0</v>
      </c>
      <c r="B12" s="10">
        <v>2021</v>
      </c>
      <c r="C12" s="10">
        <v>55</v>
      </c>
      <c r="D12" s="10">
        <v>42</v>
      </c>
      <c r="E12" s="10">
        <v>76.400000000000006</v>
      </c>
      <c r="F12" s="10">
        <v>85</v>
      </c>
    </row>
    <row r="13" spans="1:6" x14ac:dyDescent="0.3">
      <c r="A13" s="13" t="s">
        <v>0</v>
      </c>
      <c r="B13" s="10">
        <v>2022</v>
      </c>
      <c r="C13" s="10">
        <v>74</v>
      </c>
      <c r="D13" s="10">
        <v>65</v>
      </c>
      <c r="E13" s="10">
        <v>87.8</v>
      </c>
      <c r="F13" s="10">
        <v>88</v>
      </c>
    </row>
    <row r="14" spans="1:6" x14ac:dyDescent="0.3">
      <c r="A14" s="8" t="s">
        <v>23</v>
      </c>
      <c r="B14" s="10">
        <v>2011</v>
      </c>
      <c r="C14" s="10">
        <v>33</v>
      </c>
      <c r="D14" s="10">
        <v>26</v>
      </c>
      <c r="E14" s="10">
        <v>78.787878787899999</v>
      </c>
      <c r="F14" s="10">
        <v>41</v>
      </c>
    </row>
    <row r="15" spans="1:6" x14ac:dyDescent="0.3">
      <c r="A15" s="11" t="s">
        <v>23</v>
      </c>
      <c r="B15" s="10">
        <v>2012</v>
      </c>
      <c r="C15" s="10">
        <v>29</v>
      </c>
      <c r="D15" s="10">
        <v>23</v>
      </c>
      <c r="E15" s="10">
        <v>79.3</v>
      </c>
      <c r="F15" s="10">
        <v>28</v>
      </c>
    </row>
    <row r="16" spans="1:6" x14ac:dyDescent="0.3">
      <c r="A16" s="11" t="s">
        <v>23</v>
      </c>
      <c r="B16" s="10">
        <v>2013</v>
      </c>
      <c r="C16" s="10">
        <v>23</v>
      </c>
      <c r="D16" s="10">
        <v>21</v>
      </c>
      <c r="E16" s="10">
        <v>91.3</v>
      </c>
      <c r="F16" s="10">
        <v>36</v>
      </c>
    </row>
    <row r="17" spans="1:6" x14ac:dyDescent="0.3">
      <c r="A17" s="11" t="s">
        <v>23</v>
      </c>
      <c r="B17" s="10">
        <v>2014</v>
      </c>
      <c r="C17" s="10">
        <v>21</v>
      </c>
      <c r="D17" s="10">
        <v>20</v>
      </c>
      <c r="E17" s="10">
        <v>95.2</v>
      </c>
      <c r="F17" s="10">
        <v>24</v>
      </c>
    </row>
    <row r="18" spans="1:6" x14ac:dyDescent="0.3">
      <c r="A18" s="11" t="s">
        <v>23</v>
      </c>
      <c r="B18" s="10">
        <v>2015</v>
      </c>
      <c r="C18" s="10">
        <v>25</v>
      </c>
      <c r="D18" s="10">
        <v>20</v>
      </c>
      <c r="E18" s="10">
        <v>80</v>
      </c>
      <c r="F18" s="10">
        <v>36</v>
      </c>
    </row>
    <row r="19" spans="1:6" x14ac:dyDescent="0.3">
      <c r="A19" s="11" t="s">
        <v>23</v>
      </c>
      <c r="B19" s="10">
        <v>2016</v>
      </c>
      <c r="C19" s="10">
        <v>17</v>
      </c>
      <c r="D19" s="10">
        <v>16</v>
      </c>
      <c r="E19" s="10">
        <v>94.1</v>
      </c>
      <c r="F19" s="10">
        <v>34</v>
      </c>
    </row>
    <row r="20" spans="1:6" x14ac:dyDescent="0.3">
      <c r="A20" s="11" t="s">
        <v>23</v>
      </c>
      <c r="B20" s="10">
        <v>2017</v>
      </c>
      <c r="C20" s="10">
        <v>29</v>
      </c>
      <c r="D20" s="10">
        <v>27</v>
      </c>
      <c r="E20" s="10">
        <v>93.1</v>
      </c>
      <c r="F20" s="10">
        <v>54</v>
      </c>
    </row>
    <row r="21" spans="1:6" x14ac:dyDescent="0.3">
      <c r="A21" s="11" t="s">
        <v>23</v>
      </c>
      <c r="B21" s="10">
        <v>2018</v>
      </c>
      <c r="C21" s="10">
        <v>32</v>
      </c>
      <c r="D21" s="10">
        <v>31</v>
      </c>
      <c r="E21" s="10">
        <v>96.9</v>
      </c>
      <c r="F21" s="10">
        <v>38</v>
      </c>
    </row>
    <row r="22" spans="1:6" x14ac:dyDescent="0.3">
      <c r="A22" s="11" t="s">
        <v>23</v>
      </c>
      <c r="B22" s="10">
        <v>2019</v>
      </c>
      <c r="C22" s="10">
        <v>39</v>
      </c>
      <c r="D22" s="10">
        <v>31</v>
      </c>
      <c r="E22" s="10">
        <v>79.5</v>
      </c>
      <c r="F22" s="10">
        <v>46</v>
      </c>
    </row>
    <row r="23" spans="1:6" x14ac:dyDescent="0.3">
      <c r="A23" s="11" t="s">
        <v>23</v>
      </c>
      <c r="B23" s="10">
        <v>2020</v>
      </c>
      <c r="C23" s="10">
        <v>39</v>
      </c>
      <c r="D23" s="10">
        <v>32</v>
      </c>
      <c r="E23" s="10">
        <v>82.1</v>
      </c>
      <c r="F23" s="10">
        <v>47</v>
      </c>
    </row>
    <row r="24" spans="1:6" x14ac:dyDescent="0.3">
      <c r="A24" s="11" t="s">
        <v>23</v>
      </c>
      <c r="B24" s="10">
        <v>2021</v>
      </c>
      <c r="C24" s="10">
        <v>45</v>
      </c>
      <c r="D24" s="10">
        <v>33</v>
      </c>
      <c r="E24" s="10">
        <v>73.3</v>
      </c>
      <c r="F24" s="10">
        <v>68</v>
      </c>
    </row>
    <row r="25" spans="1:6" x14ac:dyDescent="0.3">
      <c r="A25" s="13" t="s">
        <v>23</v>
      </c>
      <c r="B25" s="10">
        <v>2022</v>
      </c>
      <c r="C25" s="10">
        <v>60</v>
      </c>
      <c r="D25" s="10">
        <v>51</v>
      </c>
      <c r="E25" s="10">
        <v>85</v>
      </c>
      <c r="F25" s="10">
        <v>69</v>
      </c>
    </row>
    <row r="26" spans="1:6" x14ac:dyDescent="0.3">
      <c r="A26" s="8" t="s">
        <v>24</v>
      </c>
      <c r="B26" s="10">
        <v>2013</v>
      </c>
      <c r="C26" s="10">
        <v>9</v>
      </c>
      <c r="D26" s="10">
        <v>6</v>
      </c>
      <c r="E26" s="10">
        <v>66.7</v>
      </c>
      <c r="F26" s="10">
        <v>9</v>
      </c>
    </row>
    <row r="27" spans="1:6" x14ac:dyDescent="0.3">
      <c r="A27" s="11" t="s">
        <v>24</v>
      </c>
      <c r="B27" s="10">
        <v>2014</v>
      </c>
      <c r="C27" s="10">
        <v>13</v>
      </c>
      <c r="D27" s="10">
        <v>11</v>
      </c>
      <c r="E27" s="10">
        <v>84.6</v>
      </c>
      <c r="F27" s="10">
        <v>21</v>
      </c>
    </row>
    <row r="28" spans="1:6" x14ac:dyDescent="0.3">
      <c r="A28" s="11" t="s">
        <v>24</v>
      </c>
      <c r="B28" s="10">
        <v>2015</v>
      </c>
      <c r="C28" s="10">
        <v>17</v>
      </c>
      <c r="D28" s="10">
        <v>15</v>
      </c>
      <c r="E28" s="10">
        <v>88.2</v>
      </c>
      <c r="F28" s="10">
        <v>20</v>
      </c>
    </row>
    <row r="29" spans="1:6" x14ac:dyDescent="0.3">
      <c r="A29" s="11" t="s">
        <v>24</v>
      </c>
      <c r="B29" s="10">
        <v>2016</v>
      </c>
      <c r="C29" s="10">
        <v>18</v>
      </c>
      <c r="D29" s="10">
        <v>12</v>
      </c>
      <c r="E29" s="10">
        <v>66.7</v>
      </c>
      <c r="F29" s="10">
        <v>22</v>
      </c>
    </row>
    <row r="30" spans="1:6" x14ac:dyDescent="0.3">
      <c r="A30" s="11" t="s">
        <v>24</v>
      </c>
      <c r="B30" s="10">
        <v>2017</v>
      </c>
      <c r="C30" s="10">
        <v>18</v>
      </c>
      <c r="D30" s="10">
        <v>16</v>
      </c>
      <c r="E30" s="10">
        <v>88.9</v>
      </c>
      <c r="F30" s="10">
        <v>21</v>
      </c>
    </row>
    <row r="31" spans="1:6" x14ac:dyDescent="0.3">
      <c r="A31" s="11" t="s">
        <v>24</v>
      </c>
      <c r="B31" s="10">
        <v>2018</v>
      </c>
      <c r="C31" s="10">
        <v>12</v>
      </c>
      <c r="D31" s="10">
        <v>11</v>
      </c>
      <c r="E31" s="10">
        <v>91.7</v>
      </c>
      <c r="F31" s="10">
        <v>27</v>
      </c>
    </row>
    <row r="32" spans="1:6" x14ac:dyDescent="0.3">
      <c r="A32" s="11" t="s">
        <v>24</v>
      </c>
      <c r="B32" s="10">
        <v>2019</v>
      </c>
      <c r="C32" s="10">
        <v>21</v>
      </c>
      <c r="D32" s="10">
        <v>20</v>
      </c>
      <c r="E32" s="10">
        <v>95.2</v>
      </c>
      <c r="F32" s="10">
        <v>33</v>
      </c>
    </row>
    <row r="33" spans="1:6" x14ac:dyDescent="0.3">
      <c r="A33" s="11" t="s">
        <v>24</v>
      </c>
      <c r="B33" s="10">
        <v>2020</v>
      </c>
      <c r="C33" s="10">
        <v>14</v>
      </c>
      <c r="D33" s="10">
        <v>13</v>
      </c>
      <c r="E33" s="10">
        <v>92.9</v>
      </c>
      <c r="F33" s="10">
        <v>20</v>
      </c>
    </row>
    <row r="34" spans="1:6" x14ac:dyDescent="0.3">
      <c r="A34" s="11" t="s">
        <v>24</v>
      </c>
      <c r="B34" s="10">
        <v>2021</v>
      </c>
      <c r="C34" s="10">
        <v>10</v>
      </c>
      <c r="D34" s="10">
        <v>9</v>
      </c>
      <c r="E34" s="10">
        <v>90</v>
      </c>
      <c r="F34" s="10">
        <v>17</v>
      </c>
    </row>
    <row r="35" spans="1:6" x14ac:dyDescent="0.3">
      <c r="A35" s="13" t="s">
        <v>24</v>
      </c>
      <c r="B35" s="10">
        <v>2022</v>
      </c>
      <c r="C35" s="10">
        <v>11</v>
      </c>
      <c r="D35" s="10">
        <v>12</v>
      </c>
      <c r="E35" s="10">
        <v>109.1</v>
      </c>
      <c r="F35" s="10">
        <v>12</v>
      </c>
    </row>
  </sheetData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A7B44-0307-4633-B3DF-C56E60ACCCCD}">
  <dimension ref="A1:AC14"/>
  <sheetViews>
    <sheetView zoomScaleNormal="100" workbookViewId="0"/>
  </sheetViews>
  <sheetFormatPr defaultRowHeight="16.5" x14ac:dyDescent="0.3"/>
  <cols>
    <col min="2" max="2" width="14.375" bestFit="1" customWidth="1"/>
    <col min="3" max="3" width="11.625" bestFit="1" customWidth="1"/>
    <col min="4" max="4" width="11.625" customWidth="1"/>
  </cols>
  <sheetData>
    <row r="1" spans="1:29" x14ac:dyDescent="0.3">
      <c r="A1" s="20" t="s">
        <v>28</v>
      </c>
      <c r="B1" s="20" t="s">
        <v>29</v>
      </c>
      <c r="C1" s="20" t="s">
        <v>30</v>
      </c>
      <c r="D1" s="16" t="s">
        <v>39</v>
      </c>
      <c r="E1" s="12" t="s">
        <v>40</v>
      </c>
      <c r="F1" s="12" t="s">
        <v>139</v>
      </c>
      <c r="G1" s="12" t="s">
        <v>41</v>
      </c>
      <c r="H1" s="12" t="s">
        <v>42</v>
      </c>
      <c r="I1" s="12" t="s">
        <v>43</v>
      </c>
      <c r="J1" s="12" t="s">
        <v>44</v>
      </c>
      <c r="K1" s="12" t="s">
        <v>45</v>
      </c>
      <c r="L1" s="12" t="s">
        <v>46</v>
      </c>
      <c r="M1" s="12" t="s">
        <v>47</v>
      </c>
      <c r="N1" s="12" t="s">
        <v>48</v>
      </c>
      <c r="O1" s="12" t="s">
        <v>49</v>
      </c>
      <c r="P1" s="12" t="s">
        <v>50</v>
      </c>
      <c r="Q1" s="12" t="s">
        <v>51</v>
      </c>
      <c r="R1" s="12" t="s">
        <v>52</v>
      </c>
      <c r="S1" s="12" t="s">
        <v>53</v>
      </c>
      <c r="T1" s="12" t="s">
        <v>54</v>
      </c>
      <c r="U1" s="12" t="s">
        <v>55</v>
      </c>
      <c r="V1" s="12" t="s">
        <v>56</v>
      </c>
      <c r="W1" s="12" t="s">
        <v>57</v>
      </c>
      <c r="X1" s="12" t="s">
        <v>58</v>
      </c>
      <c r="Y1" s="12" t="s">
        <v>59</v>
      </c>
      <c r="Z1" s="12" t="s">
        <v>60</v>
      </c>
      <c r="AA1" s="12" t="s">
        <v>61</v>
      </c>
      <c r="AB1" s="12" t="s">
        <v>62</v>
      </c>
      <c r="AC1" s="12" t="s">
        <v>63</v>
      </c>
    </row>
    <row r="2" spans="1:29" x14ac:dyDescent="0.3">
      <c r="A2" s="5" t="s">
        <v>13</v>
      </c>
      <c r="B2" s="5" t="s">
        <v>38</v>
      </c>
      <c r="C2" s="5" t="s">
        <v>27</v>
      </c>
      <c r="D2" s="10">
        <v>2011</v>
      </c>
      <c r="E2" s="9">
        <v>2</v>
      </c>
      <c r="F2" s="9">
        <v>2</v>
      </c>
      <c r="G2" s="9">
        <v>3</v>
      </c>
      <c r="H2" s="9">
        <v>0</v>
      </c>
      <c r="I2" s="9">
        <v>3</v>
      </c>
      <c r="J2" s="9">
        <v>3</v>
      </c>
      <c r="K2" s="9">
        <v>6</v>
      </c>
      <c r="L2" s="9">
        <v>1</v>
      </c>
      <c r="M2" s="9">
        <v>0</v>
      </c>
      <c r="N2" s="9">
        <v>0</v>
      </c>
      <c r="O2" s="9">
        <v>1</v>
      </c>
      <c r="P2" s="9">
        <v>1</v>
      </c>
      <c r="Q2" s="9">
        <v>0</v>
      </c>
      <c r="R2" s="9">
        <v>0</v>
      </c>
      <c r="S2" s="9">
        <v>6</v>
      </c>
      <c r="T2" s="9">
        <v>3</v>
      </c>
      <c r="U2" s="9">
        <v>0</v>
      </c>
      <c r="V2" s="9">
        <v>1</v>
      </c>
      <c r="W2" s="9">
        <v>7</v>
      </c>
      <c r="X2" s="9">
        <v>1</v>
      </c>
      <c r="Y2" s="9">
        <v>4</v>
      </c>
      <c r="Z2" s="9">
        <v>3</v>
      </c>
      <c r="AA2" s="9">
        <v>6</v>
      </c>
      <c r="AB2" s="9">
        <v>6</v>
      </c>
      <c r="AC2" s="9">
        <v>3</v>
      </c>
    </row>
    <row r="3" spans="1:29" x14ac:dyDescent="0.3">
      <c r="A3" s="5" t="s">
        <v>13</v>
      </c>
      <c r="B3" s="5" t="s">
        <v>38</v>
      </c>
      <c r="C3" s="5" t="s">
        <v>27</v>
      </c>
      <c r="D3" s="10">
        <v>2012</v>
      </c>
      <c r="E3" s="14">
        <v>3</v>
      </c>
      <c r="F3" s="14">
        <v>1</v>
      </c>
      <c r="G3" s="14">
        <v>1</v>
      </c>
      <c r="H3" s="14">
        <v>0</v>
      </c>
      <c r="I3" s="14">
        <v>2</v>
      </c>
      <c r="J3" s="14">
        <v>2</v>
      </c>
      <c r="K3" s="14">
        <v>2</v>
      </c>
      <c r="L3" s="14">
        <v>1</v>
      </c>
      <c r="M3" s="14">
        <v>1</v>
      </c>
      <c r="N3" s="14">
        <v>1</v>
      </c>
      <c r="O3" s="14">
        <v>2</v>
      </c>
      <c r="P3" s="14">
        <v>3</v>
      </c>
      <c r="Q3" s="14">
        <v>4</v>
      </c>
      <c r="R3" s="14">
        <v>2</v>
      </c>
      <c r="S3" s="14">
        <v>1</v>
      </c>
      <c r="T3" s="14">
        <v>8</v>
      </c>
      <c r="U3" s="14">
        <v>0</v>
      </c>
      <c r="V3" s="14">
        <v>2</v>
      </c>
      <c r="W3" s="14">
        <v>1</v>
      </c>
      <c r="X3" s="14">
        <v>5</v>
      </c>
      <c r="Y3" s="14">
        <v>1</v>
      </c>
      <c r="Z3" s="14">
        <v>2</v>
      </c>
      <c r="AA3" s="14">
        <v>1</v>
      </c>
      <c r="AB3" s="14">
        <v>3</v>
      </c>
      <c r="AC3" s="14">
        <v>1</v>
      </c>
    </row>
    <row r="4" spans="1:29" x14ac:dyDescent="0.3">
      <c r="A4" s="5" t="s">
        <v>13</v>
      </c>
      <c r="B4" s="5" t="s">
        <v>38</v>
      </c>
      <c r="C4" s="5" t="s">
        <v>27</v>
      </c>
      <c r="D4" s="10">
        <v>2013</v>
      </c>
      <c r="E4" s="14">
        <v>2</v>
      </c>
      <c r="F4" s="14">
        <v>1</v>
      </c>
      <c r="G4" s="14">
        <v>0</v>
      </c>
      <c r="H4" s="14">
        <v>4</v>
      </c>
      <c r="I4" s="14">
        <v>1</v>
      </c>
      <c r="J4" s="14">
        <v>2</v>
      </c>
      <c r="K4" s="14">
        <v>1</v>
      </c>
      <c r="L4" s="14">
        <v>4</v>
      </c>
      <c r="M4" s="14">
        <v>2</v>
      </c>
      <c r="N4" s="14">
        <v>0</v>
      </c>
      <c r="O4" s="14">
        <v>3</v>
      </c>
      <c r="P4" s="14">
        <v>3</v>
      </c>
      <c r="Q4" s="14">
        <v>2</v>
      </c>
      <c r="R4" s="14">
        <v>1</v>
      </c>
      <c r="S4" s="14">
        <v>0</v>
      </c>
      <c r="T4" s="14">
        <v>6</v>
      </c>
      <c r="U4" s="14">
        <v>0</v>
      </c>
      <c r="V4" s="14">
        <v>1</v>
      </c>
      <c r="W4" s="14">
        <v>1</v>
      </c>
      <c r="X4" s="14">
        <v>0</v>
      </c>
      <c r="Y4" s="14">
        <v>2</v>
      </c>
      <c r="Z4" s="14">
        <v>1</v>
      </c>
      <c r="AA4" s="14">
        <v>2</v>
      </c>
      <c r="AB4" s="14">
        <v>2</v>
      </c>
      <c r="AC4" s="14">
        <v>0</v>
      </c>
    </row>
    <row r="5" spans="1:29" x14ac:dyDescent="0.3">
      <c r="A5" s="5" t="s">
        <v>13</v>
      </c>
      <c r="B5" s="5" t="s">
        <v>38</v>
      </c>
      <c r="C5" s="5" t="s">
        <v>27</v>
      </c>
      <c r="D5" s="10">
        <v>2014</v>
      </c>
      <c r="E5" s="14">
        <v>1</v>
      </c>
      <c r="F5" s="14">
        <v>4</v>
      </c>
      <c r="G5" s="14">
        <v>1</v>
      </c>
      <c r="H5" s="14">
        <v>3</v>
      </c>
      <c r="I5" s="14">
        <v>2</v>
      </c>
      <c r="J5" s="14">
        <v>2</v>
      </c>
      <c r="K5" s="14">
        <v>2</v>
      </c>
      <c r="L5" s="14">
        <v>0</v>
      </c>
      <c r="M5" s="14">
        <v>2</v>
      </c>
      <c r="N5" s="14">
        <v>1</v>
      </c>
      <c r="O5" s="14">
        <v>0</v>
      </c>
      <c r="P5" s="14">
        <v>2</v>
      </c>
      <c r="Q5" s="14">
        <v>1</v>
      </c>
      <c r="R5" s="14">
        <v>2</v>
      </c>
      <c r="S5" s="14">
        <v>2</v>
      </c>
      <c r="T5" s="14">
        <v>0</v>
      </c>
      <c r="U5" s="14">
        <v>1</v>
      </c>
      <c r="V5" s="14">
        <v>2</v>
      </c>
      <c r="W5" s="14">
        <v>3</v>
      </c>
      <c r="X5" s="14">
        <v>1</v>
      </c>
      <c r="Y5" s="14">
        <v>4</v>
      </c>
      <c r="Z5" s="14">
        <v>1</v>
      </c>
      <c r="AA5" s="14">
        <v>2</v>
      </c>
      <c r="AB5" s="14">
        <v>1</v>
      </c>
      <c r="AC5" s="14">
        <v>0</v>
      </c>
    </row>
    <row r="6" spans="1:29" x14ac:dyDescent="0.3">
      <c r="A6" s="5" t="s">
        <v>13</v>
      </c>
      <c r="B6" s="5" t="s">
        <v>38</v>
      </c>
      <c r="C6" s="5" t="s">
        <v>27</v>
      </c>
      <c r="D6" s="10">
        <v>2015</v>
      </c>
      <c r="E6" s="15">
        <v>1</v>
      </c>
      <c r="F6" s="15">
        <v>1</v>
      </c>
      <c r="G6" s="15">
        <v>0</v>
      </c>
      <c r="H6" s="15">
        <v>1</v>
      </c>
      <c r="I6" s="15">
        <v>5</v>
      </c>
      <c r="J6" s="15">
        <v>0</v>
      </c>
      <c r="K6" s="15">
        <v>2</v>
      </c>
      <c r="L6" s="15">
        <v>1</v>
      </c>
      <c r="M6" s="15">
        <v>1</v>
      </c>
      <c r="N6" s="15">
        <v>4</v>
      </c>
      <c r="O6" s="15">
        <v>1</v>
      </c>
      <c r="P6" s="15">
        <v>0</v>
      </c>
      <c r="Q6" s="15">
        <v>3</v>
      </c>
      <c r="R6" s="15">
        <v>2</v>
      </c>
      <c r="S6" s="15">
        <v>3</v>
      </c>
      <c r="T6" s="15">
        <v>1</v>
      </c>
      <c r="U6" s="15">
        <v>3</v>
      </c>
      <c r="V6" s="15">
        <v>3</v>
      </c>
      <c r="W6" s="15">
        <v>2</v>
      </c>
      <c r="X6" s="15">
        <v>1</v>
      </c>
      <c r="Y6" s="15">
        <v>2</v>
      </c>
      <c r="Z6" s="15">
        <v>2</v>
      </c>
      <c r="AA6" s="15">
        <v>4</v>
      </c>
      <c r="AB6" s="15">
        <v>1</v>
      </c>
      <c r="AC6" s="15">
        <v>2</v>
      </c>
    </row>
    <row r="7" spans="1:29" x14ac:dyDescent="0.3">
      <c r="A7" s="5" t="s">
        <v>13</v>
      </c>
      <c r="B7" s="5" t="s">
        <v>38</v>
      </c>
      <c r="C7" s="5" t="s">
        <v>27</v>
      </c>
      <c r="D7" s="10">
        <v>2016</v>
      </c>
      <c r="E7" s="17">
        <v>1</v>
      </c>
      <c r="F7" s="17">
        <v>0</v>
      </c>
      <c r="G7" s="17">
        <v>1</v>
      </c>
      <c r="H7" s="17">
        <v>1</v>
      </c>
      <c r="I7" s="17">
        <v>1</v>
      </c>
      <c r="J7" s="17">
        <v>2</v>
      </c>
      <c r="K7" s="17">
        <v>1</v>
      </c>
      <c r="L7" s="17">
        <v>1</v>
      </c>
      <c r="M7" s="17">
        <v>0</v>
      </c>
      <c r="N7" s="17">
        <v>2</v>
      </c>
      <c r="O7" s="17">
        <v>0</v>
      </c>
      <c r="P7" s="17">
        <v>1</v>
      </c>
      <c r="Q7" s="17">
        <v>0</v>
      </c>
      <c r="R7" s="17">
        <v>2</v>
      </c>
      <c r="S7" s="17">
        <v>1</v>
      </c>
      <c r="T7" s="17">
        <v>3</v>
      </c>
      <c r="U7" s="17">
        <v>0</v>
      </c>
      <c r="V7" s="17">
        <v>2</v>
      </c>
      <c r="W7" s="17">
        <v>1</v>
      </c>
      <c r="X7" s="17">
        <v>3</v>
      </c>
      <c r="Y7" s="17">
        <v>1</v>
      </c>
      <c r="Z7" s="17">
        <v>3</v>
      </c>
      <c r="AA7" s="17">
        <v>7</v>
      </c>
      <c r="AB7" s="17">
        <v>1</v>
      </c>
      <c r="AC7" s="17">
        <v>3</v>
      </c>
    </row>
    <row r="8" spans="1:29" x14ac:dyDescent="0.3">
      <c r="A8" s="5" t="s">
        <v>13</v>
      </c>
      <c r="B8" s="5" t="s">
        <v>38</v>
      </c>
      <c r="C8" s="5" t="s">
        <v>27</v>
      </c>
      <c r="D8" s="10">
        <v>2017</v>
      </c>
      <c r="E8" s="18">
        <v>2</v>
      </c>
      <c r="F8" s="18">
        <v>0</v>
      </c>
      <c r="G8" s="18">
        <v>3</v>
      </c>
      <c r="H8" s="18">
        <v>1</v>
      </c>
      <c r="I8" s="18">
        <v>2</v>
      </c>
      <c r="J8" s="18">
        <v>2</v>
      </c>
      <c r="K8" s="18">
        <v>3</v>
      </c>
      <c r="L8" s="18">
        <v>1</v>
      </c>
      <c r="M8" s="18">
        <v>0</v>
      </c>
      <c r="N8" s="18">
        <v>0</v>
      </c>
      <c r="O8" s="18">
        <v>3</v>
      </c>
      <c r="P8" s="18">
        <v>2</v>
      </c>
      <c r="Q8" s="18">
        <v>1</v>
      </c>
      <c r="R8" s="18">
        <v>1</v>
      </c>
      <c r="S8" s="18">
        <v>2</v>
      </c>
      <c r="T8" s="18">
        <v>2</v>
      </c>
      <c r="U8" s="18">
        <v>2</v>
      </c>
      <c r="V8" s="18">
        <v>3</v>
      </c>
      <c r="W8" s="18">
        <v>2</v>
      </c>
      <c r="X8" s="18">
        <v>0</v>
      </c>
      <c r="Y8" s="18">
        <v>5</v>
      </c>
      <c r="Z8" s="18">
        <v>3</v>
      </c>
      <c r="AA8" s="18">
        <v>4</v>
      </c>
      <c r="AB8" s="18">
        <v>4</v>
      </c>
      <c r="AC8" s="18">
        <v>3</v>
      </c>
    </row>
    <row r="9" spans="1:29" x14ac:dyDescent="0.3">
      <c r="A9" s="5" t="s">
        <v>13</v>
      </c>
      <c r="B9" s="5" t="s">
        <v>38</v>
      </c>
      <c r="C9" s="5" t="s">
        <v>27</v>
      </c>
      <c r="D9" s="10">
        <v>2018</v>
      </c>
      <c r="E9" s="19">
        <v>1</v>
      </c>
      <c r="F9" s="19">
        <v>0</v>
      </c>
      <c r="G9" s="19">
        <v>2</v>
      </c>
      <c r="H9" s="19">
        <v>1</v>
      </c>
      <c r="I9" s="19">
        <v>0</v>
      </c>
      <c r="J9" s="19">
        <v>2</v>
      </c>
      <c r="K9" s="19">
        <v>8</v>
      </c>
      <c r="L9" s="19">
        <v>0</v>
      </c>
      <c r="M9" s="19">
        <v>0</v>
      </c>
      <c r="N9" s="19">
        <v>1</v>
      </c>
      <c r="O9" s="19">
        <v>3</v>
      </c>
      <c r="P9" s="19">
        <v>2</v>
      </c>
      <c r="Q9" s="19">
        <v>1</v>
      </c>
      <c r="R9" s="19">
        <v>5</v>
      </c>
      <c r="S9" s="19">
        <v>1</v>
      </c>
      <c r="T9" s="19">
        <v>4</v>
      </c>
      <c r="U9" s="19">
        <v>4</v>
      </c>
      <c r="V9" s="19">
        <v>1</v>
      </c>
      <c r="W9" s="19">
        <v>9</v>
      </c>
      <c r="X9" s="19">
        <v>1</v>
      </c>
      <c r="Y9" s="19">
        <v>2</v>
      </c>
      <c r="Z9" s="19">
        <v>0</v>
      </c>
      <c r="AA9" s="19">
        <v>3</v>
      </c>
      <c r="AB9" s="19">
        <v>0</v>
      </c>
      <c r="AC9" s="19">
        <v>2</v>
      </c>
    </row>
    <row r="10" spans="1:29" x14ac:dyDescent="0.3">
      <c r="A10" s="5" t="s">
        <v>13</v>
      </c>
      <c r="B10" s="5" t="s">
        <v>38</v>
      </c>
      <c r="C10" s="5" t="s">
        <v>27</v>
      </c>
      <c r="D10" s="10">
        <v>2019</v>
      </c>
      <c r="E10" s="21">
        <v>2</v>
      </c>
      <c r="F10" s="21">
        <v>1</v>
      </c>
      <c r="G10" s="21">
        <v>1</v>
      </c>
      <c r="H10" s="21">
        <v>2</v>
      </c>
      <c r="I10" s="21">
        <v>1</v>
      </c>
      <c r="J10" s="21">
        <v>1</v>
      </c>
      <c r="K10" s="21">
        <v>3</v>
      </c>
      <c r="L10" s="21">
        <v>3</v>
      </c>
      <c r="M10" s="21">
        <v>2</v>
      </c>
      <c r="N10" s="21">
        <v>0</v>
      </c>
      <c r="O10" s="21">
        <v>3</v>
      </c>
      <c r="P10" s="21">
        <v>3</v>
      </c>
      <c r="Q10" s="21">
        <v>2</v>
      </c>
      <c r="R10" s="21">
        <v>0</v>
      </c>
      <c r="S10" s="21">
        <v>0</v>
      </c>
      <c r="T10" s="21">
        <v>2</v>
      </c>
      <c r="U10" s="21">
        <v>3</v>
      </c>
      <c r="V10" s="21">
        <v>3</v>
      </c>
      <c r="W10" s="21">
        <v>3</v>
      </c>
      <c r="X10" s="21">
        <v>0</v>
      </c>
      <c r="Y10" s="21">
        <v>6</v>
      </c>
      <c r="Z10" s="21">
        <v>8</v>
      </c>
      <c r="AA10" s="21">
        <v>6</v>
      </c>
      <c r="AB10" s="21">
        <v>3</v>
      </c>
      <c r="AC10" s="21">
        <v>2</v>
      </c>
    </row>
    <row r="11" spans="1:29" x14ac:dyDescent="0.3">
      <c r="A11" s="5" t="s">
        <v>13</v>
      </c>
      <c r="B11" s="5" t="s">
        <v>38</v>
      </c>
      <c r="C11" s="5" t="s">
        <v>27</v>
      </c>
      <c r="D11" s="6">
        <v>2020</v>
      </c>
      <c r="E11" s="22">
        <v>2</v>
      </c>
      <c r="F11" s="22">
        <v>0</v>
      </c>
      <c r="G11" s="22">
        <v>3</v>
      </c>
      <c r="H11" s="22">
        <v>1</v>
      </c>
      <c r="I11" s="22">
        <v>0</v>
      </c>
      <c r="J11" s="22">
        <v>3</v>
      </c>
      <c r="K11" s="22">
        <v>0</v>
      </c>
      <c r="L11" s="22">
        <v>1</v>
      </c>
      <c r="M11" s="22">
        <v>1</v>
      </c>
      <c r="N11" s="22">
        <v>3</v>
      </c>
      <c r="O11" s="22">
        <v>3</v>
      </c>
      <c r="P11" s="22">
        <v>3</v>
      </c>
      <c r="Q11" s="22">
        <v>0</v>
      </c>
      <c r="R11" s="22">
        <v>3</v>
      </c>
      <c r="S11" s="22">
        <v>3</v>
      </c>
      <c r="T11" s="22">
        <v>3</v>
      </c>
      <c r="U11" s="22">
        <v>0</v>
      </c>
      <c r="V11" s="22">
        <v>3</v>
      </c>
      <c r="W11" s="22">
        <v>1</v>
      </c>
      <c r="X11" s="22">
        <v>2</v>
      </c>
      <c r="Y11" s="22">
        <v>5</v>
      </c>
      <c r="Z11" s="22">
        <v>3</v>
      </c>
      <c r="AA11" s="22">
        <v>8</v>
      </c>
      <c r="AB11" s="22">
        <v>3</v>
      </c>
      <c r="AC11" s="22">
        <v>0</v>
      </c>
    </row>
    <row r="12" spans="1:29" x14ac:dyDescent="0.3">
      <c r="A12" s="5" t="s">
        <v>13</v>
      </c>
      <c r="B12" s="5" t="s">
        <v>38</v>
      </c>
      <c r="C12" s="5" t="s">
        <v>27</v>
      </c>
      <c r="D12" s="10">
        <v>2021</v>
      </c>
      <c r="E12" s="23">
        <v>1</v>
      </c>
      <c r="F12" s="23">
        <v>1</v>
      </c>
      <c r="G12" s="23">
        <v>5</v>
      </c>
      <c r="H12" s="23">
        <v>0</v>
      </c>
      <c r="I12" s="23">
        <v>0</v>
      </c>
      <c r="J12" s="23">
        <v>2</v>
      </c>
      <c r="K12" s="23">
        <v>0</v>
      </c>
      <c r="L12" s="23">
        <v>1</v>
      </c>
      <c r="M12" s="23">
        <v>2</v>
      </c>
      <c r="N12" s="23">
        <v>0</v>
      </c>
      <c r="O12" s="23">
        <v>0</v>
      </c>
      <c r="P12" s="23">
        <v>1</v>
      </c>
      <c r="Q12" s="23">
        <v>4</v>
      </c>
      <c r="R12" s="23">
        <v>6</v>
      </c>
      <c r="S12" s="23">
        <v>0</v>
      </c>
      <c r="T12" s="23">
        <v>1</v>
      </c>
      <c r="U12" s="23">
        <v>4</v>
      </c>
      <c r="V12" s="23">
        <v>1</v>
      </c>
      <c r="W12" s="23">
        <v>2</v>
      </c>
      <c r="X12" s="23">
        <v>2</v>
      </c>
      <c r="Y12" s="23">
        <v>4</v>
      </c>
      <c r="Z12" s="23">
        <v>8</v>
      </c>
      <c r="AA12" s="23">
        <v>5</v>
      </c>
      <c r="AB12" s="23">
        <v>4</v>
      </c>
      <c r="AC12" s="23">
        <v>0</v>
      </c>
    </row>
    <row r="13" spans="1:29" x14ac:dyDescent="0.3">
      <c r="A13" s="6" t="s">
        <v>13</v>
      </c>
      <c r="B13" s="6" t="s">
        <v>38</v>
      </c>
      <c r="C13" s="6" t="s">
        <v>27</v>
      </c>
      <c r="D13" s="10">
        <v>2022</v>
      </c>
      <c r="E13" s="24">
        <v>1</v>
      </c>
      <c r="F13" s="24">
        <v>1</v>
      </c>
      <c r="G13" s="24">
        <v>1</v>
      </c>
      <c r="H13" s="24">
        <v>3</v>
      </c>
      <c r="I13" s="24">
        <v>2</v>
      </c>
      <c r="J13" s="24">
        <v>2</v>
      </c>
      <c r="K13" s="24">
        <v>4</v>
      </c>
      <c r="L13" s="24">
        <v>1</v>
      </c>
      <c r="M13" s="24">
        <v>1</v>
      </c>
      <c r="N13" s="24">
        <v>0</v>
      </c>
      <c r="O13" s="24">
        <v>5</v>
      </c>
      <c r="P13" s="24">
        <v>5</v>
      </c>
      <c r="Q13" s="24">
        <v>8</v>
      </c>
      <c r="R13" s="24">
        <v>6</v>
      </c>
      <c r="S13" s="24">
        <v>3</v>
      </c>
      <c r="T13" s="24">
        <v>4</v>
      </c>
      <c r="U13" s="24">
        <v>0</v>
      </c>
      <c r="V13" s="24">
        <v>4</v>
      </c>
      <c r="W13" s="24">
        <v>2</v>
      </c>
      <c r="X13" s="24">
        <v>1</v>
      </c>
      <c r="Y13" s="24">
        <v>4</v>
      </c>
      <c r="Z13" s="24">
        <v>2</v>
      </c>
      <c r="AA13" s="24">
        <v>4</v>
      </c>
      <c r="AB13" s="24">
        <v>7</v>
      </c>
      <c r="AC13" s="24">
        <v>1</v>
      </c>
    </row>
    <row r="14" spans="1:29" x14ac:dyDescent="0.3">
      <c r="A14" s="6" t="s">
        <v>13</v>
      </c>
      <c r="B14" s="6" t="s">
        <v>38</v>
      </c>
      <c r="C14" s="6" t="s">
        <v>27</v>
      </c>
      <c r="D14" s="10">
        <v>2023</v>
      </c>
      <c r="E14" s="25">
        <v>2</v>
      </c>
      <c r="F14" s="25">
        <v>4</v>
      </c>
      <c r="G14" s="25">
        <v>1</v>
      </c>
      <c r="H14" s="25">
        <v>3</v>
      </c>
      <c r="I14" s="25">
        <v>1</v>
      </c>
      <c r="J14" s="25">
        <v>4</v>
      </c>
      <c r="K14" s="25">
        <v>4</v>
      </c>
      <c r="L14" s="25">
        <v>0</v>
      </c>
      <c r="M14" s="25">
        <v>4</v>
      </c>
      <c r="N14" s="25">
        <v>2</v>
      </c>
      <c r="O14" s="25">
        <v>4</v>
      </c>
      <c r="P14" s="25">
        <v>2</v>
      </c>
      <c r="Q14" s="25">
        <v>1</v>
      </c>
      <c r="R14" s="25">
        <v>1</v>
      </c>
      <c r="S14" s="25">
        <v>3</v>
      </c>
      <c r="T14" s="25">
        <v>5</v>
      </c>
      <c r="U14" s="25">
        <v>4</v>
      </c>
      <c r="V14" s="25">
        <v>2</v>
      </c>
      <c r="W14" s="25">
        <v>2</v>
      </c>
      <c r="X14" s="25">
        <v>2</v>
      </c>
      <c r="Y14" s="25">
        <v>4</v>
      </c>
      <c r="Z14" s="25">
        <v>6</v>
      </c>
      <c r="AA14" s="25">
        <v>5</v>
      </c>
      <c r="AB14" s="25">
        <v>4</v>
      </c>
      <c r="AC14" s="25">
        <v>0</v>
      </c>
    </row>
  </sheetData>
  <sortState xmlns:xlrd2="http://schemas.microsoft.com/office/spreadsheetml/2017/richdata2" ref="A2:AC14">
    <sortCondition ref="D2:D14"/>
  </sortState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9DFC4-DCF4-4C24-9ECE-D9B4B52F6998}">
  <dimension ref="A1:T41"/>
  <sheetViews>
    <sheetView workbookViewId="0">
      <selection activeCell="A2" sqref="A2"/>
    </sheetView>
  </sheetViews>
  <sheetFormatPr defaultRowHeight="16.5" x14ac:dyDescent="0.3"/>
  <cols>
    <col min="1" max="1" width="24.375" bestFit="1" customWidth="1"/>
    <col min="3" max="4" width="10.25" bestFit="1" customWidth="1"/>
    <col min="12" max="12" width="10.25" bestFit="1" customWidth="1"/>
  </cols>
  <sheetData>
    <row r="1" spans="1:20" x14ac:dyDescent="0.3">
      <c r="A1" s="27" t="s">
        <v>125</v>
      </c>
      <c r="B1" s="27" t="s">
        <v>16</v>
      </c>
      <c r="C1" s="28" t="s">
        <v>64</v>
      </c>
      <c r="D1" s="28" t="s">
        <v>31</v>
      </c>
      <c r="E1" s="28" t="s">
        <v>32</v>
      </c>
      <c r="F1" s="28" t="s">
        <v>33</v>
      </c>
      <c r="G1" s="28" t="s">
        <v>34</v>
      </c>
      <c r="H1" s="28" t="s">
        <v>35</v>
      </c>
      <c r="I1" s="28" t="s">
        <v>36</v>
      </c>
      <c r="J1" s="28" t="s">
        <v>37</v>
      </c>
      <c r="K1" s="28" t="s">
        <v>65</v>
      </c>
      <c r="L1" s="28" t="s">
        <v>66</v>
      </c>
      <c r="M1" s="28" t="s">
        <v>67</v>
      </c>
      <c r="N1" s="28" t="s">
        <v>68</v>
      </c>
      <c r="O1" s="28" t="s">
        <v>69</v>
      </c>
      <c r="P1" s="28" t="s">
        <v>70</v>
      </c>
      <c r="Q1" s="28" t="s">
        <v>71</v>
      </c>
      <c r="R1" s="28" t="s">
        <v>72</v>
      </c>
      <c r="S1" s="28" t="s">
        <v>73</v>
      </c>
      <c r="T1" s="28" t="s">
        <v>74</v>
      </c>
    </row>
    <row r="2" spans="1:20" x14ac:dyDescent="0.3">
      <c r="A2" s="5" t="s">
        <v>27</v>
      </c>
      <c r="B2" s="30">
        <v>2014</v>
      </c>
      <c r="C2" s="29">
        <v>206</v>
      </c>
      <c r="D2" s="29">
        <v>40</v>
      </c>
      <c r="E2" s="29">
        <v>11</v>
      </c>
      <c r="F2" s="29">
        <v>8</v>
      </c>
      <c r="G2" s="29">
        <v>12</v>
      </c>
      <c r="H2" s="29">
        <v>9</v>
      </c>
      <c r="I2" s="29">
        <v>5</v>
      </c>
      <c r="J2" s="29">
        <v>5</v>
      </c>
      <c r="K2" s="29">
        <v>0</v>
      </c>
      <c r="L2" s="29">
        <v>50</v>
      </c>
      <c r="M2" s="29">
        <v>7</v>
      </c>
      <c r="N2" s="29">
        <v>2</v>
      </c>
      <c r="O2" s="29">
        <v>9</v>
      </c>
      <c r="P2" s="29">
        <v>11</v>
      </c>
      <c r="Q2" s="29">
        <v>21</v>
      </c>
      <c r="R2" s="29">
        <v>8</v>
      </c>
      <c r="S2" s="29">
        <v>6</v>
      </c>
      <c r="T2" s="29">
        <v>2</v>
      </c>
    </row>
    <row r="3" spans="1:20" x14ac:dyDescent="0.3">
      <c r="A3" s="5" t="s">
        <v>27</v>
      </c>
      <c r="B3" s="30">
        <v>2015</v>
      </c>
      <c r="C3" s="33">
        <v>195</v>
      </c>
      <c r="D3" s="33">
        <v>45</v>
      </c>
      <c r="E3" s="33">
        <v>8</v>
      </c>
      <c r="F3" s="33">
        <v>7</v>
      </c>
      <c r="G3" s="33">
        <v>13</v>
      </c>
      <c r="H3" s="33">
        <v>5</v>
      </c>
      <c r="I3" s="33">
        <v>4</v>
      </c>
      <c r="J3" s="33">
        <v>1</v>
      </c>
      <c r="K3" s="33">
        <v>1</v>
      </c>
      <c r="L3" s="33">
        <v>66</v>
      </c>
      <c r="M3" s="29">
        <v>3</v>
      </c>
      <c r="N3" s="33">
        <v>5</v>
      </c>
      <c r="O3" s="33">
        <v>5</v>
      </c>
      <c r="P3" s="33">
        <v>7</v>
      </c>
      <c r="Q3" s="33">
        <v>13</v>
      </c>
      <c r="R3" s="33">
        <v>3</v>
      </c>
      <c r="S3" s="33">
        <v>5</v>
      </c>
      <c r="T3" s="33">
        <v>4</v>
      </c>
    </row>
    <row r="4" spans="1:20" x14ac:dyDescent="0.3">
      <c r="A4" s="5" t="s">
        <v>27</v>
      </c>
      <c r="B4" s="30">
        <v>2016</v>
      </c>
      <c r="C4" s="29">
        <v>203</v>
      </c>
      <c r="D4" s="29">
        <v>38</v>
      </c>
      <c r="E4" s="29">
        <v>19</v>
      </c>
      <c r="F4" s="29">
        <v>8</v>
      </c>
      <c r="G4" s="29">
        <v>11</v>
      </c>
      <c r="H4" s="29">
        <v>9</v>
      </c>
      <c r="I4" s="29">
        <v>4</v>
      </c>
      <c r="J4" s="29">
        <v>1</v>
      </c>
      <c r="K4" s="29">
        <v>2</v>
      </c>
      <c r="L4" s="29">
        <v>56</v>
      </c>
      <c r="M4" s="29">
        <v>7</v>
      </c>
      <c r="N4" s="29">
        <v>1</v>
      </c>
      <c r="O4" s="29">
        <v>7</v>
      </c>
      <c r="P4" s="29">
        <v>5</v>
      </c>
      <c r="Q4" s="29">
        <v>10</v>
      </c>
      <c r="R4" s="29">
        <v>6</v>
      </c>
      <c r="S4" s="29">
        <v>15</v>
      </c>
      <c r="T4" s="29">
        <v>4</v>
      </c>
    </row>
    <row r="5" spans="1:20" x14ac:dyDescent="0.3">
      <c r="A5" s="5" t="s">
        <v>27</v>
      </c>
      <c r="B5" s="30">
        <v>2017</v>
      </c>
      <c r="C5" s="33">
        <v>216</v>
      </c>
      <c r="D5" s="33">
        <v>52</v>
      </c>
      <c r="E5" s="29">
        <v>19</v>
      </c>
      <c r="F5" s="33">
        <v>9</v>
      </c>
      <c r="G5" s="33">
        <v>16</v>
      </c>
      <c r="H5" s="33">
        <v>5</v>
      </c>
      <c r="I5" s="33">
        <v>6</v>
      </c>
      <c r="J5" s="33">
        <v>4</v>
      </c>
      <c r="K5" s="33">
        <v>0</v>
      </c>
      <c r="L5" s="33">
        <v>57</v>
      </c>
      <c r="M5" s="33">
        <v>1</v>
      </c>
      <c r="N5" s="33">
        <v>5</v>
      </c>
      <c r="O5" s="33">
        <v>6</v>
      </c>
      <c r="P5" s="33">
        <v>4</v>
      </c>
      <c r="Q5" s="33">
        <v>6</v>
      </c>
      <c r="R5" s="33">
        <v>11</v>
      </c>
      <c r="S5" s="33">
        <v>14</v>
      </c>
      <c r="T5" s="33">
        <v>1</v>
      </c>
    </row>
    <row r="6" spans="1:20" x14ac:dyDescent="0.3">
      <c r="A6" s="5" t="s">
        <v>27</v>
      </c>
      <c r="B6" s="30">
        <v>2018</v>
      </c>
      <c r="C6" s="33">
        <v>199</v>
      </c>
      <c r="D6" s="33">
        <v>49</v>
      </c>
      <c r="E6" s="33">
        <v>12</v>
      </c>
      <c r="F6" s="33">
        <v>5</v>
      </c>
      <c r="G6" s="33">
        <v>16</v>
      </c>
      <c r="H6" s="33">
        <v>4</v>
      </c>
      <c r="I6" s="33">
        <v>2</v>
      </c>
      <c r="J6" s="33">
        <v>2</v>
      </c>
      <c r="K6" s="33">
        <v>0</v>
      </c>
      <c r="L6" s="33">
        <v>53</v>
      </c>
      <c r="M6" s="33">
        <v>5</v>
      </c>
      <c r="N6" s="33">
        <v>7</v>
      </c>
      <c r="O6" s="33">
        <v>9</v>
      </c>
      <c r="P6" s="33">
        <v>5</v>
      </c>
      <c r="Q6" s="33">
        <v>7</v>
      </c>
      <c r="R6" s="33">
        <v>7</v>
      </c>
      <c r="S6" s="33">
        <v>13</v>
      </c>
      <c r="T6" s="33">
        <v>3</v>
      </c>
    </row>
    <row r="7" spans="1:20" x14ac:dyDescent="0.3">
      <c r="A7" s="5" t="s">
        <v>27</v>
      </c>
      <c r="B7" s="30">
        <v>2019</v>
      </c>
      <c r="C7" s="33">
        <v>260</v>
      </c>
      <c r="D7" s="33">
        <v>64</v>
      </c>
      <c r="E7" s="33">
        <v>16</v>
      </c>
      <c r="F7" s="33">
        <v>2</v>
      </c>
      <c r="G7" s="33">
        <v>12</v>
      </c>
      <c r="H7" s="33">
        <v>4</v>
      </c>
      <c r="I7" s="33">
        <v>5</v>
      </c>
      <c r="J7" s="33">
        <v>1</v>
      </c>
      <c r="K7" s="33">
        <v>1</v>
      </c>
      <c r="L7" s="33">
        <v>85</v>
      </c>
      <c r="M7" s="33">
        <v>11</v>
      </c>
      <c r="N7" s="33">
        <v>8</v>
      </c>
      <c r="O7" s="33">
        <v>9</v>
      </c>
      <c r="P7" s="29">
        <v>5</v>
      </c>
      <c r="Q7" s="33">
        <v>11</v>
      </c>
      <c r="R7" s="33">
        <v>6</v>
      </c>
      <c r="S7" s="33">
        <v>15</v>
      </c>
      <c r="T7" s="33">
        <v>5</v>
      </c>
    </row>
    <row r="8" spans="1:20" x14ac:dyDescent="0.3">
      <c r="A8" s="5" t="s">
        <v>27</v>
      </c>
      <c r="B8" s="30">
        <v>2020</v>
      </c>
      <c r="C8" s="33">
        <v>223</v>
      </c>
      <c r="D8" s="33">
        <v>54</v>
      </c>
      <c r="E8" s="29">
        <v>11</v>
      </c>
      <c r="F8" s="33">
        <v>3</v>
      </c>
      <c r="G8" s="33">
        <v>13</v>
      </c>
      <c r="H8" s="33">
        <v>6</v>
      </c>
      <c r="I8" s="33">
        <v>7</v>
      </c>
      <c r="J8" s="33">
        <v>4</v>
      </c>
      <c r="K8" s="33">
        <v>1</v>
      </c>
      <c r="L8" s="33">
        <v>64</v>
      </c>
      <c r="M8" s="33">
        <v>3</v>
      </c>
      <c r="N8" s="33">
        <v>9</v>
      </c>
      <c r="O8" s="33">
        <v>9</v>
      </c>
      <c r="P8" s="33">
        <v>4</v>
      </c>
      <c r="Q8" s="33">
        <v>12</v>
      </c>
      <c r="R8" s="33">
        <v>6</v>
      </c>
      <c r="S8" s="33">
        <v>12</v>
      </c>
      <c r="T8" s="33">
        <v>5</v>
      </c>
    </row>
    <row r="9" spans="1:20" x14ac:dyDescent="0.3">
      <c r="A9" s="5" t="s">
        <v>27</v>
      </c>
      <c r="B9" s="30">
        <v>2021</v>
      </c>
      <c r="C9" s="33">
        <v>251</v>
      </c>
      <c r="D9" s="33">
        <v>56</v>
      </c>
      <c r="E9" s="33">
        <v>12</v>
      </c>
      <c r="F9" s="33">
        <v>6</v>
      </c>
      <c r="G9" s="33">
        <v>18</v>
      </c>
      <c r="H9" s="33">
        <v>9</v>
      </c>
      <c r="I9" s="33">
        <v>9</v>
      </c>
      <c r="J9" s="33">
        <v>3</v>
      </c>
      <c r="K9" s="33">
        <v>3</v>
      </c>
      <c r="L9" s="33">
        <v>70</v>
      </c>
      <c r="M9" s="33">
        <v>5</v>
      </c>
      <c r="N9" s="33">
        <v>8</v>
      </c>
      <c r="O9" s="33">
        <v>10</v>
      </c>
      <c r="P9" s="33">
        <v>3</v>
      </c>
      <c r="Q9" s="33">
        <v>5</v>
      </c>
      <c r="R9" s="33">
        <v>20</v>
      </c>
      <c r="S9" s="33">
        <v>10</v>
      </c>
      <c r="T9" s="33">
        <v>4</v>
      </c>
    </row>
    <row r="10" spans="1:20" x14ac:dyDescent="0.3">
      <c r="A10" s="5" t="s">
        <v>27</v>
      </c>
      <c r="B10" s="30">
        <v>2022</v>
      </c>
      <c r="C10" s="33">
        <v>284</v>
      </c>
      <c r="D10" s="33">
        <v>77</v>
      </c>
      <c r="E10" s="33">
        <v>17</v>
      </c>
      <c r="F10" s="33">
        <v>8</v>
      </c>
      <c r="G10" s="33">
        <v>19</v>
      </c>
      <c r="H10" s="29">
        <v>8</v>
      </c>
      <c r="I10" s="29">
        <v>2</v>
      </c>
      <c r="J10" s="33">
        <v>3</v>
      </c>
      <c r="K10" s="33">
        <v>2</v>
      </c>
      <c r="L10" s="33">
        <v>77</v>
      </c>
      <c r="M10" s="29">
        <v>13</v>
      </c>
      <c r="N10" s="33">
        <v>17</v>
      </c>
      <c r="O10" s="33">
        <v>5</v>
      </c>
      <c r="P10" s="33">
        <v>5</v>
      </c>
      <c r="Q10" s="33">
        <v>8</v>
      </c>
      <c r="R10" s="33">
        <v>7</v>
      </c>
      <c r="S10" s="33">
        <v>16</v>
      </c>
      <c r="T10" s="33">
        <v>0</v>
      </c>
    </row>
    <row r="11" spans="1:20" x14ac:dyDescent="0.3">
      <c r="A11" s="5" t="s">
        <v>27</v>
      </c>
      <c r="B11" s="30">
        <v>2023</v>
      </c>
      <c r="C11" s="33">
        <v>349</v>
      </c>
      <c r="D11" s="33">
        <v>70</v>
      </c>
      <c r="E11" s="29">
        <v>26</v>
      </c>
      <c r="F11" s="33">
        <v>14</v>
      </c>
      <c r="G11" s="33">
        <v>23</v>
      </c>
      <c r="H11" s="33">
        <v>8</v>
      </c>
      <c r="I11" s="29">
        <v>8</v>
      </c>
      <c r="J11" s="29">
        <v>4</v>
      </c>
      <c r="K11" s="33">
        <v>0</v>
      </c>
      <c r="L11" s="33">
        <v>97</v>
      </c>
      <c r="M11" s="33">
        <v>10</v>
      </c>
      <c r="N11" s="33">
        <v>9</v>
      </c>
      <c r="O11" s="29">
        <v>12</v>
      </c>
      <c r="P11" s="33">
        <v>14</v>
      </c>
      <c r="Q11" s="29">
        <v>11</v>
      </c>
      <c r="R11" s="33">
        <v>18</v>
      </c>
      <c r="S11" s="33">
        <v>17</v>
      </c>
      <c r="T11" s="33">
        <v>8</v>
      </c>
    </row>
    <row r="12" spans="1:20" x14ac:dyDescent="0.3">
      <c r="A12" s="5" t="s">
        <v>77</v>
      </c>
      <c r="B12" s="30">
        <v>2014</v>
      </c>
      <c r="C12" s="33">
        <v>3768</v>
      </c>
      <c r="D12" s="33">
        <v>3854</v>
      </c>
      <c r="E12" s="33">
        <v>4204</v>
      </c>
      <c r="F12" s="33">
        <v>4150</v>
      </c>
      <c r="G12" s="33">
        <v>3578</v>
      </c>
      <c r="H12" s="33">
        <v>4823</v>
      </c>
      <c r="I12" s="33">
        <v>3279</v>
      </c>
      <c r="J12" s="33">
        <v>3900</v>
      </c>
      <c r="K12" s="33">
        <v>2381</v>
      </c>
      <c r="L12" s="33">
        <v>3584</v>
      </c>
      <c r="M12" s="29">
        <v>3805</v>
      </c>
      <c r="N12" s="33">
        <v>3511</v>
      </c>
      <c r="O12" s="33">
        <v>3743</v>
      </c>
      <c r="P12" s="33">
        <v>3350</v>
      </c>
      <c r="Q12" s="33">
        <v>3771</v>
      </c>
      <c r="R12" s="33">
        <v>3536</v>
      </c>
      <c r="S12" s="33">
        <v>3641</v>
      </c>
      <c r="T12" s="33">
        <v>5307</v>
      </c>
    </row>
    <row r="13" spans="1:20" x14ac:dyDescent="0.3">
      <c r="A13" s="5" t="s">
        <v>77</v>
      </c>
      <c r="B13" s="30">
        <v>2019</v>
      </c>
      <c r="C13" s="34">
        <v>3409.2</v>
      </c>
      <c r="D13" s="34">
        <v>3499.8</v>
      </c>
      <c r="E13" s="34">
        <v>3770.7</v>
      </c>
      <c r="F13" s="34">
        <v>3400.5</v>
      </c>
      <c r="G13" s="34">
        <v>3425.4</v>
      </c>
      <c r="H13" s="34">
        <v>3627.1</v>
      </c>
      <c r="I13" s="34">
        <v>3249.7</v>
      </c>
      <c r="J13" s="34">
        <v>2248.6</v>
      </c>
      <c r="K13" s="34">
        <v>1849.8</v>
      </c>
      <c r="L13" s="34">
        <v>3274.2</v>
      </c>
      <c r="M13" s="33">
        <v>3457</v>
      </c>
      <c r="N13" s="34">
        <v>3362.5</v>
      </c>
      <c r="O13" s="34">
        <v>3475.9</v>
      </c>
      <c r="P13" s="34">
        <v>3189.4</v>
      </c>
      <c r="Q13" s="34">
        <v>3669.1</v>
      </c>
      <c r="R13" s="34">
        <v>3304.7</v>
      </c>
      <c r="S13" s="34">
        <v>3687.4</v>
      </c>
      <c r="T13" s="34">
        <v>4220.3</v>
      </c>
    </row>
    <row r="14" spans="1:20" x14ac:dyDescent="0.3">
      <c r="A14" s="5" t="s">
        <v>77</v>
      </c>
      <c r="B14" s="30">
        <v>2015</v>
      </c>
      <c r="C14" s="33">
        <v>3922</v>
      </c>
      <c r="D14" s="33">
        <v>3856</v>
      </c>
      <c r="E14" s="33">
        <v>4453</v>
      </c>
      <c r="F14" s="33">
        <v>4330</v>
      </c>
      <c r="G14" s="33">
        <v>3767</v>
      </c>
      <c r="H14" s="33">
        <v>4560</v>
      </c>
      <c r="I14" s="33">
        <v>3437</v>
      </c>
      <c r="J14" s="33">
        <v>2915</v>
      </c>
      <c r="K14" s="33">
        <v>1848</v>
      </c>
      <c r="L14" s="33">
        <v>3777</v>
      </c>
      <c r="M14" s="33">
        <v>4081</v>
      </c>
      <c r="N14" s="33">
        <v>3680</v>
      </c>
      <c r="O14" s="33">
        <v>3947</v>
      </c>
      <c r="P14" s="29">
        <v>3513</v>
      </c>
      <c r="Q14" s="33">
        <v>4174</v>
      </c>
      <c r="R14" s="33">
        <v>3691</v>
      </c>
      <c r="S14" s="33">
        <v>4308</v>
      </c>
      <c r="T14" s="33">
        <v>5739</v>
      </c>
    </row>
    <row r="15" spans="1:20" x14ac:dyDescent="0.3">
      <c r="A15" s="5" t="s">
        <v>77</v>
      </c>
      <c r="B15" s="30">
        <v>2020</v>
      </c>
      <c r="C15" s="34">
        <v>3308.1</v>
      </c>
      <c r="D15" s="34">
        <v>3292.4</v>
      </c>
      <c r="E15" s="33">
        <v>3764</v>
      </c>
      <c r="F15" s="34">
        <v>3274.2</v>
      </c>
      <c r="G15" s="34">
        <v>3273.7</v>
      </c>
      <c r="H15" s="34">
        <v>3439.1</v>
      </c>
      <c r="I15" s="34">
        <v>3207.9</v>
      </c>
      <c r="J15" s="34">
        <v>2192.8000000000002</v>
      </c>
      <c r="K15" s="34">
        <v>1869.1</v>
      </c>
      <c r="L15" s="34">
        <v>3198.7</v>
      </c>
      <c r="M15" s="34">
        <v>3340.9</v>
      </c>
      <c r="N15" s="34">
        <v>3226.1</v>
      </c>
      <c r="O15" s="34">
        <v>3387.4</v>
      </c>
      <c r="P15" s="34">
        <v>3115.7</v>
      </c>
      <c r="Q15" s="34">
        <v>3642.8</v>
      </c>
      <c r="R15" s="34">
        <v>3174.6</v>
      </c>
      <c r="S15" s="34">
        <v>3694.6</v>
      </c>
      <c r="T15" s="34">
        <v>4342.5</v>
      </c>
    </row>
    <row r="16" spans="1:20" x14ac:dyDescent="0.3">
      <c r="A16" s="5" t="s">
        <v>77</v>
      </c>
      <c r="B16" s="30">
        <v>2016</v>
      </c>
      <c r="C16" s="34">
        <v>3884.8</v>
      </c>
      <c r="D16" s="34">
        <v>3753.3</v>
      </c>
      <c r="E16" s="34">
        <v>4117.1000000000004</v>
      </c>
      <c r="F16" s="34">
        <v>3771.8</v>
      </c>
      <c r="G16" s="34">
        <v>3723.3</v>
      </c>
      <c r="H16" s="34">
        <v>4107.8</v>
      </c>
      <c r="I16" s="34">
        <v>3413.7</v>
      </c>
      <c r="J16" s="34">
        <v>2526.6</v>
      </c>
      <c r="K16" s="34">
        <v>1959.3</v>
      </c>
      <c r="L16" s="34">
        <v>4113.3</v>
      </c>
      <c r="M16" s="34">
        <v>4177.2</v>
      </c>
      <c r="N16" s="34">
        <v>3880.2</v>
      </c>
      <c r="O16" s="34">
        <v>3726.2</v>
      </c>
      <c r="P16" s="34">
        <v>3346.5</v>
      </c>
      <c r="Q16" s="34">
        <v>3926.3</v>
      </c>
      <c r="R16" s="34">
        <v>3562.8</v>
      </c>
      <c r="S16" s="34">
        <v>4246.8</v>
      </c>
      <c r="T16" s="34">
        <v>5829.5</v>
      </c>
    </row>
    <row r="17" spans="1:20" x14ac:dyDescent="0.3">
      <c r="A17" s="5" t="s">
        <v>77</v>
      </c>
      <c r="B17" s="30">
        <v>2021</v>
      </c>
      <c r="C17" s="34">
        <v>2966.2</v>
      </c>
      <c r="D17" s="34">
        <v>2890.1</v>
      </c>
      <c r="E17" s="34">
        <v>3389.4</v>
      </c>
      <c r="F17" s="34">
        <v>3032.6</v>
      </c>
      <c r="G17" s="34">
        <v>2897.6</v>
      </c>
      <c r="H17" s="34">
        <v>3094.5</v>
      </c>
      <c r="I17" s="34">
        <v>2886.6</v>
      </c>
      <c r="J17" s="34">
        <v>2091.9</v>
      </c>
      <c r="K17" s="34">
        <v>1652.9</v>
      </c>
      <c r="L17" s="34">
        <v>2860.2</v>
      </c>
      <c r="M17" s="34">
        <v>2950.8</v>
      </c>
      <c r="N17" s="34">
        <v>2943.5</v>
      </c>
      <c r="O17" s="34">
        <v>2986.4</v>
      </c>
      <c r="P17" s="31">
        <v>2943</v>
      </c>
      <c r="Q17" s="34">
        <v>3284.9</v>
      </c>
      <c r="R17" s="34">
        <v>2866.8</v>
      </c>
      <c r="S17" s="34">
        <v>3352.3</v>
      </c>
      <c r="T17" s="34">
        <v>3915.6</v>
      </c>
    </row>
    <row r="18" spans="1:20" x14ac:dyDescent="0.3">
      <c r="A18" s="5" t="s">
        <v>77</v>
      </c>
      <c r="B18" s="30">
        <v>2017</v>
      </c>
      <c r="C18" s="34">
        <v>3524.4</v>
      </c>
      <c r="D18" s="34">
        <v>3575.7</v>
      </c>
      <c r="E18" s="31">
        <v>3750</v>
      </c>
      <c r="F18" s="34">
        <v>3324.2</v>
      </c>
      <c r="G18" s="34">
        <v>3443.3</v>
      </c>
      <c r="H18" s="34">
        <v>3731.9</v>
      </c>
      <c r="I18" s="34">
        <v>3352.2</v>
      </c>
      <c r="J18" s="34">
        <v>2279.4</v>
      </c>
      <c r="K18" s="34">
        <v>1793.3</v>
      </c>
      <c r="L18" s="34">
        <v>3572.3</v>
      </c>
      <c r="M18" s="34">
        <v>3799.7</v>
      </c>
      <c r="N18" s="34">
        <v>3571.4</v>
      </c>
      <c r="O18" s="34">
        <v>3485.1</v>
      </c>
      <c r="P18" s="34">
        <v>3086.3</v>
      </c>
      <c r="Q18" s="34">
        <v>3407.4</v>
      </c>
      <c r="R18" s="34">
        <v>3308.3</v>
      </c>
      <c r="S18" s="34">
        <v>3765.6</v>
      </c>
      <c r="T18" s="34">
        <v>5201.3</v>
      </c>
    </row>
    <row r="19" spans="1:20" x14ac:dyDescent="0.3">
      <c r="A19" s="5" t="s">
        <v>77</v>
      </c>
      <c r="B19" s="30">
        <v>2022</v>
      </c>
      <c r="C19" s="34">
        <v>3061.9</v>
      </c>
      <c r="D19" s="34">
        <v>3134.2</v>
      </c>
      <c r="E19" s="34">
        <v>3560.5</v>
      </c>
      <c r="F19" s="34">
        <v>3020.1</v>
      </c>
      <c r="G19" s="34">
        <v>3072.9</v>
      </c>
      <c r="H19" s="34">
        <v>3002.2</v>
      </c>
      <c r="I19" s="34">
        <v>3156.8</v>
      </c>
      <c r="J19" s="34">
        <v>1600.5</v>
      </c>
      <c r="K19" s="34">
        <v>1800.6</v>
      </c>
      <c r="L19" s="34">
        <v>2878.1</v>
      </c>
      <c r="M19" s="34">
        <v>2996.3</v>
      </c>
      <c r="N19" s="34">
        <v>2966.9</v>
      </c>
      <c r="O19" s="34">
        <v>3194.9</v>
      </c>
      <c r="P19" s="34">
        <v>3036.7</v>
      </c>
      <c r="Q19" s="34">
        <v>3385.9</v>
      </c>
      <c r="R19" s="34">
        <v>3036.1</v>
      </c>
      <c r="S19" s="34">
        <v>3398.5</v>
      </c>
      <c r="T19" s="34">
        <v>4051.9</v>
      </c>
    </row>
    <row r="20" spans="1:20" x14ac:dyDescent="0.3">
      <c r="A20" s="5" t="s">
        <v>77</v>
      </c>
      <c r="B20" s="30">
        <v>2018</v>
      </c>
      <c r="C20" s="34">
        <v>3353.9</v>
      </c>
      <c r="D20" s="34">
        <v>3494.8</v>
      </c>
      <c r="E20" s="34">
        <v>3667.9</v>
      </c>
      <c r="F20" s="34">
        <v>3228.9</v>
      </c>
      <c r="G20" s="34">
        <v>3201.9</v>
      </c>
      <c r="H20" s="31">
        <v>3510</v>
      </c>
      <c r="I20" s="31">
        <v>3234</v>
      </c>
      <c r="J20" s="34">
        <v>2191.3000000000002</v>
      </c>
      <c r="K20" s="34">
        <v>1697.1</v>
      </c>
      <c r="L20" s="34">
        <v>3287.8</v>
      </c>
      <c r="M20" s="31">
        <v>3402</v>
      </c>
      <c r="N20" s="34">
        <v>3355.3</v>
      </c>
      <c r="O20" s="34">
        <v>3546.3</v>
      </c>
      <c r="P20" s="34">
        <v>3067.9</v>
      </c>
      <c r="Q20" s="34">
        <v>3501.5</v>
      </c>
      <c r="R20" s="34">
        <v>3189.3</v>
      </c>
      <c r="S20" s="34">
        <v>3474.9</v>
      </c>
      <c r="T20" s="34">
        <v>4512.3999999999996</v>
      </c>
    </row>
    <row r="21" spans="1:20" x14ac:dyDescent="0.3">
      <c r="A21" s="5" t="s">
        <v>77</v>
      </c>
      <c r="B21" s="30">
        <v>2023</v>
      </c>
      <c r="C21" s="34">
        <v>3144.2</v>
      </c>
      <c r="D21" s="34">
        <v>3146.4</v>
      </c>
      <c r="E21" s="31">
        <v>3647</v>
      </c>
      <c r="F21" s="34">
        <v>2998.7</v>
      </c>
      <c r="G21" s="34">
        <v>3201.4</v>
      </c>
      <c r="H21" s="34">
        <v>3262.7</v>
      </c>
      <c r="I21" s="31">
        <v>3121</v>
      </c>
      <c r="J21" s="31">
        <v>1713</v>
      </c>
      <c r="K21" s="34">
        <v>2064.5</v>
      </c>
      <c r="L21" s="34">
        <v>2968.3</v>
      </c>
      <c r="M21" s="34">
        <v>3174.2</v>
      </c>
      <c r="N21" s="34">
        <v>2890.8</v>
      </c>
      <c r="O21" s="31">
        <v>3313</v>
      </c>
      <c r="P21" s="34">
        <v>3031.2</v>
      </c>
      <c r="Q21" s="31">
        <v>3761</v>
      </c>
      <c r="R21" s="34">
        <v>3095.6</v>
      </c>
      <c r="S21" s="34">
        <v>3509.5</v>
      </c>
      <c r="T21" s="34">
        <v>4294.1000000000004</v>
      </c>
    </row>
    <row r="22" spans="1:20" x14ac:dyDescent="0.3">
      <c r="A22" s="5" t="s">
        <v>75</v>
      </c>
      <c r="B22" s="30">
        <v>2014</v>
      </c>
      <c r="C22" s="32">
        <v>1933835</v>
      </c>
      <c r="D22" s="32">
        <v>389353</v>
      </c>
      <c r="E22" s="32">
        <v>147945</v>
      </c>
      <c r="F22" s="32">
        <v>103469</v>
      </c>
      <c r="G22" s="32">
        <v>103861</v>
      </c>
      <c r="H22" s="32">
        <v>71182</v>
      </c>
      <c r="I22" s="32">
        <v>50232</v>
      </c>
      <c r="J22" s="32">
        <v>45490</v>
      </c>
      <c r="K22" s="32">
        <v>3717</v>
      </c>
      <c r="L22" s="32">
        <v>442902</v>
      </c>
      <c r="M22" s="32">
        <v>58772</v>
      </c>
      <c r="N22" s="32">
        <v>55437</v>
      </c>
      <c r="O22" s="32">
        <v>77187</v>
      </c>
      <c r="P22" s="32">
        <v>62694</v>
      </c>
      <c r="Q22" s="32">
        <v>71866</v>
      </c>
      <c r="R22" s="32">
        <v>95509</v>
      </c>
      <c r="S22" s="32">
        <v>121986</v>
      </c>
      <c r="T22" s="32">
        <v>32233</v>
      </c>
    </row>
    <row r="23" spans="1:20" x14ac:dyDescent="0.3">
      <c r="A23" s="5" t="s">
        <v>75</v>
      </c>
      <c r="B23" s="30">
        <v>2015</v>
      </c>
      <c r="C23" s="32">
        <v>2020731</v>
      </c>
      <c r="D23" s="32">
        <v>386488</v>
      </c>
      <c r="E23" s="32">
        <v>156472</v>
      </c>
      <c r="F23" s="32">
        <v>107728</v>
      </c>
      <c r="G23" s="32">
        <v>110230</v>
      </c>
      <c r="H23" s="32">
        <v>67136</v>
      </c>
      <c r="I23" s="32">
        <v>52193</v>
      </c>
      <c r="J23" s="32">
        <v>34213</v>
      </c>
      <c r="K23" s="32">
        <v>3897</v>
      </c>
      <c r="L23" s="32">
        <v>472930</v>
      </c>
      <c r="M23" s="32">
        <v>63243</v>
      </c>
      <c r="N23" s="32">
        <v>58288</v>
      </c>
      <c r="O23" s="32">
        <v>82007</v>
      </c>
      <c r="P23" s="32">
        <v>65686</v>
      </c>
      <c r="Q23" s="32">
        <v>79687</v>
      </c>
      <c r="R23" s="32">
        <v>99762</v>
      </c>
      <c r="S23" s="32">
        <v>144936</v>
      </c>
      <c r="T23" s="32">
        <v>35835</v>
      </c>
    </row>
    <row r="24" spans="1:20" x14ac:dyDescent="0.3">
      <c r="A24" s="5" t="s">
        <v>75</v>
      </c>
      <c r="B24" s="30">
        <v>2016</v>
      </c>
      <c r="C24" s="32">
        <v>2008290</v>
      </c>
      <c r="D24" s="32">
        <v>372730</v>
      </c>
      <c r="E24" s="32">
        <v>144038</v>
      </c>
      <c r="F24" s="32">
        <v>93713</v>
      </c>
      <c r="G24" s="32">
        <v>109580</v>
      </c>
      <c r="H24" s="32">
        <v>60352</v>
      </c>
      <c r="I24" s="32">
        <v>51696</v>
      </c>
      <c r="J24" s="32">
        <v>29620</v>
      </c>
      <c r="K24" s="32">
        <v>4762</v>
      </c>
      <c r="L24" s="32">
        <v>523078</v>
      </c>
      <c r="M24" s="32">
        <v>64781</v>
      </c>
      <c r="N24" s="32">
        <v>61758</v>
      </c>
      <c r="O24" s="32">
        <v>78129</v>
      </c>
      <c r="P24" s="32">
        <v>62406</v>
      </c>
      <c r="Q24" s="32">
        <v>74753</v>
      </c>
      <c r="R24" s="32">
        <v>96211</v>
      </c>
      <c r="S24" s="32">
        <v>143281</v>
      </c>
      <c r="T24" s="32">
        <v>37402</v>
      </c>
    </row>
    <row r="25" spans="1:20" x14ac:dyDescent="0.3">
      <c r="A25" s="5" t="s">
        <v>75</v>
      </c>
      <c r="B25" s="30">
        <v>2017</v>
      </c>
      <c r="C25" s="32">
        <v>1824876</v>
      </c>
      <c r="D25" s="32">
        <v>352471</v>
      </c>
      <c r="E25" s="32">
        <v>130148</v>
      </c>
      <c r="F25" s="32">
        <v>82281</v>
      </c>
      <c r="G25" s="32">
        <v>101526</v>
      </c>
      <c r="H25" s="32">
        <v>54627</v>
      </c>
      <c r="I25" s="32">
        <v>50357</v>
      </c>
      <c r="J25" s="32">
        <v>26558</v>
      </c>
      <c r="K25" s="32">
        <v>5023</v>
      </c>
      <c r="L25" s="32">
        <v>459893</v>
      </c>
      <c r="M25" s="32">
        <v>58900</v>
      </c>
      <c r="N25" s="32">
        <v>56944</v>
      </c>
      <c r="O25" s="32">
        <v>73772</v>
      </c>
      <c r="P25" s="32">
        <v>57238</v>
      </c>
      <c r="Q25" s="32">
        <v>64618</v>
      </c>
      <c r="R25" s="32">
        <v>89049</v>
      </c>
      <c r="S25" s="32">
        <v>127294</v>
      </c>
      <c r="T25" s="32">
        <v>34177</v>
      </c>
    </row>
    <row r="26" spans="1:20" x14ac:dyDescent="0.3">
      <c r="A26" s="5" t="s">
        <v>75</v>
      </c>
      <c r="B26" s="30">
        <v>2018</v>
      </c>
      <c r="C26" s="32">
        <v>1738190</v>
      </c>
      <c r="D26" s="32">
        <v>341288</v>
      </c>
      <c r="E26" s="32">
        <v>126230</v>
      </c>
      <c r="F26" s="32">
        <v>79489</v>
      </c>
      <c r="G26" s="32">
        <v>94605</v>
      </c>
      <c r="H26" s="32">
        <v>51223</v>
      </c>
      <c r="I26" s="32">
        <v>48184</v>
      </c>
      <c r="J26" s="32">
        <v>25323</v>
      </c>
      <c r="K26" s="32">
        <v>5331</v>
      </c>
      <c r="L26" s="32">
        <v>429953</v>
      </c>
      <c r="M26" s="32">
        <v>52495</v>
      </c>
      <c r="N26" s="32">
        <v>53659</v>
      </c>
      <c r="O26" s="32">
        <v>75405</v>
      </c>
      <c r="P26" s="32">
        <v>56353</v>
      </c>
      <c r="Q26" s="32">
        <v>65932</v>
      </c>
      <c r="R26" s="32">
        <v>85371</v>
      </c>
      <c r="S26" s="32">
        <v>117243</v>
      </c>
      <c r="T26" s="32">
        <v>30106</v>
      </c>
    </row>
    <row r="27" spans="1:20" x14ac:dyDescent="0.3">
      <c r="A27" s="5" t="s">
        <v>75</v>
      </c>
      <c r="B27" s="30">
        <v>2019</v>
      </c>
      <c r="C27" s="32">
        <v>1767684</v>
      </c>
      <c r="D27" s="32">
        <v>340504</v>
      </c>
      <c r="E27" s="32">
        <v>128725</v>
      </c>
      <c r="F27" s="32">
        <v>82905</v>
      </c>
      <c r="G27" s="32">
        <v>101289</v>
      </c>
      <c r="H27" s="32">
        <v>52827</v>
      </c>
      <c r="I27" s="32">
        <v>47929</v>
      </c>
      <c r="J27" s="32">
        <v>25814</v>
      </c>
      <c r="K27" s="32">
        <v>6300</v>
      </c>
      <c r="L27" s="32">
        <v>433498</v>
      </c>
      <c r="M27" s="32">
        <v>53289</v>
      </c>
      <c r="N27" s="32">
        <v>53801</v>
      </c>
      <c r="O27" s="32">
        <v>73817</v>
      </c>
      <c r="P27" s="32">
        <v>58012</v>
      </c>
      <c r="Q27" s="32">
        <v>68566</v>
      </c>
      <c r="R27" s="32">
        <v>88098</v>
      </c>
      <c r="S27" s="32">
        <v>123992</v>
      </c>
      <c r="T27" s="32">
        <v>28318</v>
      </c>
    </row>
    <row r="28" spans="1:20" x14ac:dyDescent="0.3">
      <c r="A28" s="5" t="s">
        <v>75</v>
      </c>
      <c r="B28" s="30">
        <v>2020</v>
      </c>
      <c r="C28" s="32">
        <v>1714579</v>
      </c>
      <c r="D28" s="32">
        <v>318320</v>
      </c>
      <c r="E28" s="32">
        <v>127673</v>
      </c>
      <c r="F28" s="32">
        <v>79182</v>
      </c>
      <c r="G28" s="32">
        <v>96340</v>
      </c>
      <c r="H28" s="32">
        <v>49869</v>
      </c>
      <c r="I28" s="32">
        <v>46960</v>
      </c>
      <c r="J28" s="32">
        <v>24911</v>
      </c>
      <c r="K28" s="32">
        <v>6651</v>
      </c>
      <c r="L28" s="32">
        <v>429487</v>
      </c>
      <c r="M28" s="32">
        <v>51544</v>
      </c>
      <c r="N28" s="32">
        <v>51645</v>
      </c>
      <c r="O28" s="32">
        <v>71847</v>
      </c>
      <c r="P28" s="32">
        <v>56210</v>
      </c>
      <c r="Q28" s="32">
        <v>67448</v>
      </c>
      <c r="R28" s="32">
        <v>83790</v>
      </c>
      <c r="S28" s="32">
        <v>123406</v>
      </c>
      <c r="T28" s="32">
        <v>29296</v>
      </c>
    </row>
    <row r="29" spans="1:20" x14ac:dyDescent="0.3">
      <c r="A29" s="5" t="s">
        <v>75</v>
      </c>
      <c r="B29" s="30">
        <v>2021</v>
      </c>
      <c r="C29" s="32">
        <v>1531705</v>
      </c>
      <c r="D29" s="32">
        <v>274830</v>
      </c>
      <c r="E29" s="32">
        <v>113558</v>
      </c>
      <c r="F29" s="32">
        <v>72339</v>
      </c>
      <c r="G29" s="32">
        <v>85432</v>
      </c>
      <c r="H29" s="32">
        <v>44610</v>
      </c>
      <c r="I29" s="32">
        <v>41921</v>
      </c>
      <c r="J29" s="32">
        <v>23463</v>
      </c>
      <c r="K29" s="32">
        <v>6147</v>
      </c>
      <c r="L29" s="32">
        <v>388004</v>
      </c>
      <c r="M29" s="32">
        <v>45398</v>
      </c>
      <c r="N29" s="32">
        <v>47020</v>
      </c>
      <c r="O29" s="32">
        <v>63290</v>
      </c>
      <c r="P29" s="32">
        <v>52587</v>
      </c>
      <c r="Q29" s="32">
        <v>60205</v>
      </c>
      <c r="R29" s="32">
        <v>75300</v>
      </c>
      <c r="S29" s="32">
        <v>111102</v>
      </c>
      <c r="T29" s="32">
        <v>26499</v>
      </c>
    </row>
    <row r="30" spans="1:20" x14ac:dyDescent="0.3">
      <c r="A30" s="5" t="s">
        <v>75</v>
      </c>
      <c r="B30" s="30">
        <v>2022</v>
      </c>
      <c r="C30" s="32">
        <v>1575007</v>
      </c>
      <c r="D30" s="32">
        <v>295503</v>
      </c>
      <c r="E30" s="32">
        <v>118130</v>
      </c>
      <c r="F30" s="32">
        <v>71386</v>
      </c>
      <c r="G30" s="32">
        <v>91182</v>
      </c>
      <c r="H30" s="32">
        <v>42963</v>
      </c>
      <c r="I30" s="32">
        <v>45650</v>
      </c>
      <c r="J30" s="32">
        <v>17776</v>
      </c>
      <c r="K30" s="32">
        <v>6907</v>
      </c>
      <c r="L30" s="32">
        <v>391119</v>
      </c>
      <c r="M30" s="32">
        <v>46038</v>
      </c>
      <c r="N30" s="32">
        <v>47324</v>
      </c>
      <c r="O30" s="32">
        <v>67829</v>
      </c>
      <c r="P30" s="32">
        <v>53737</v>
      </c>
      <c r="Q30" s="32">
        <v>61545</v>
      </c>
      <c r="R30" s="32">
        <v>78953</v>
      </c>
      <c r="S30" s="32">
        <v>111487</v>
      </c>
      <c r="T30" s="32">
        <v>27478</v>
      </c>
    </row>
    <row r="31" spans="1:20" x14ac:dyDescent="0.3">
      <c r="A31" s="5" t="s">
        <v>75</v>
      </c>
      <c r="B31" s="30">
        <v>2023</v>
      </c>
      <c r="C31" s="32">
        <v>1613754</v>
      </c>
      <c r="D31" s="32">
        <v>295323</v>
      </c>
      <c r="E31" s="32">
        <v>120110</v>
      </c>
      <c r="F31" s="32">
        <v>71217</v>
      </c>
      <c r="G31" s="32">
        <v>95959</v>
      </c>
      <c r="H31" s="32">
        <v>46305</v>
      </c>
      <c r="I31" s="32">
        <v>45011</v>
      </c>
      <c r="J31" s="32">
        <v>18906</v>
      </c>
      <c r="K31" s="32">
        <v>7980</v>
      </c>
      <c r="L31" s="32">
        <v>404600</v>
      </c>
      <c r="M31" s="32">
        <v>48495</v>
      </c>
      <c r="N31" s="32">
        <v>46064</v>
      </c>
      <c r="O31" s="32">
        <v>70570</v>
      </c>
      <c r="P31" s="32">
        <v>53190</v>
      </c>
      <c r="Q31" s="32">
        <v>67857</v>
      </c>
      <c r="R31" s="32">
        <v>79071</v>
      </c>
      <c r="S31" s="32">
        <v>114100</v>
      </c>
      <c r="T31" s="32">
        <v>28996</v>
      </c>
    </row>
    <row r="32" spans="1:20" x14ac:dyDescent="0.3">
      <c r="A32" s="5" t="s">
        <v>76</v>
      </c>
      <c r="B32" s="30">
        <v>2014</v>
      </c>
      <c r="C32" s="32">
        <v>51327916</v>
      </c>
      <c r="D32" s="32">
        <v>10103233</v>
      </c>
      <c r="E32" s="32">
        <v>3519401</v>
      </c>
      <c r="F32" s="32">
        <v>2493264</v>
      </c>
      <c r="G32" s="32">
        <v>2902608</v>
      </c>
      <c r="H32" s="32">
        <v>1475884</v>
      </c>
      <c r="I32" s="32">
        <v>1531809</v>
      </c>
      <c r="J32" s="32">
        <v>1166377</v>
      </c>
      <c r="K32" s="32">
        <v>156125</v>
      </c>
      <c r="L32" s="32">
        <v>12357830</v>
      </c>
      <c r="M32" s="32">
        <v>1544442</v>
      </c>
      <c r="N32" s="32">
        <v>1578933</v>
      </c>
      <c r="O32" s="32">
        <v>2062273</v>
      </c>
      <c r="P32" s="32">
        <v>1871560</v>
      </c>
      <c r="Q32" s="32">
        <v>1905780</v>
      </c>
      <c r="R32" s="32">
        <v>2700794</v>
      </c>
      <c r="S32" s="32">
        <v>3350257</v>
      </c>
      <c r="T32" s="32">
        <v>607346</v>
      </c>
    </row>
    <row r="33" spans="1:20" x14ac:dyDescent="0.3">
      <c r="A33" s="5" t="s">
        <v>76</v>
      </c>
      <c r="B33" s="30">
        <v>2015</v>
      </c>
      <c r="C33" s="32">
        <v>51529338</v>
      </c>
      <c r="D33" s="32">
        <v>10022181</v>
      </c>
      <c r="E33" s="32">
        <v>3513777</v>
      </c>
      <c r="F33" s="32">
        <v>2487829</v>
      </c>
      <c r="G33" s="32">
        <v>2925815</v>
      </c>
      <c r="H33" s="32">
        <v>1472199</v>
      </c>
      <c r="I33" s="32">
        <v>1518775</v>
      </c>
      <c r="J33" s="32">
        <v>1173534</v>
      </c>
      <c r="K33" s="32">
        <v>210884</v>
      </c>
      <c r="L33" s="32">
        <v>12522606</v>
      </c>
      <c r="M33" s="32">
        <v>1549507</v>
      </c>
      <c r="N33" s="32">
        <v>1583952</v>
      </c>
      <c r="O33" s="32">
        <v>2077649</v>
      </c>
      <c r="P33" s="32">
        <v>1869711</v>
      </c>
      <c r="Q33" s="32">
        <v>1908996</v>
      </c>
      <c r="R33" s="32">
        <v>2702826</v>
      </c>
      <c r="S33" s="32">
        <v>3364702</v>
      </c>
      <c r="T33" s="32">
        <v>624395</v>
      </c>
    </row>
    <row r="34" spans="1:20" x14ac:dyDescent="0.3">
      <c r="A34" s="5" t="s">
        <v>76</v>
      </c>
      <c r="B34" s="30">
        <v>2016</v>
      </c>
      <c r="C34" s="33">
        <v>51696216</v>
      </c>
      <c r="D34" s="33">
        <v>9930616</v>
      </c>
      <c r="E34" s="33">
        <v>3498529</v>
      </c>
      <c r="F34" s="33">
        <v>2484557</v>
      </c>
      <c r="G34" s="33">
        <v>2943069</v>
      </c>
      <c r="H34" s="33">
        <v>1469214</v>
      </c>
      <c r="I34" s="33">
        <v>1514370</v>
      </c>
      <c r="J34" s="33">
        <v>1172304</v>
      </c>
      <c r="K34" s="33">
        <v>243048</v>
      </c>
      <c r="L34" s="33">
        <v>12716780</v>
      </c>
      <c r="M34" s="33">
        <v>1550806</v>
      </c>
      <c r="N34" s="33">
        <v>1591625</v>
      </c>
      <c r="O34" s="33">
        <v>2096727</v>
      </c>
      <c r="P34" s="33">
        <v>1864791</v>
      </c>
      <c r="Q34" s="33">
        <v>1903914</v>
      </c>
      <c r="R34" s="33">
        <v>2700398</v>
      </c>
      <c r="S34" s="33">
        <v>3373871</v>
      </c>
      <c r="T34" s="33">
        <v>641597</v>
      </c>
    </row>
    <row r="35" spans="1:20" x14ac:dyDescent="0.3">
      <c r="A35" s="5" t="s">
        <v>76</v>
      </c>
      <c r="B35" s="30">
        <v>2017</v>
      </c>
      <c r="C35" s="33">
        <v>51778544</v>
      </c>
      <c r="D35" s="33">
        <v>9857426</v>
      </c>
      <c r="E35" s="32">
        <v>3470653</v>
      </c>
      <c r="F35" s="33">
        <v>2475231</v>
      </c>
      <c r="G35" s="33">
        <v>2948542</v>
      </c>
      <c r="H35" s="33">
        <v>1463770</v>
      </c>
      <c r="I35" s="33">
        <v>1502227</v>
      </c>
      <c r="J35" s="33">
        <v>1165132</v>
      </c>
      <c r="K35" s="33">
        <v>280100</v>
      </c>
      <c r="L35" s="33">
        <v>12873895</v>
      </c>
      <c r="M35" s="33">
        <v>1550142</v>
      </c>
      <c r="N35" s="33">
        <v>1594432</v>
      </c>
      <c r="O35" s="33">
        <v>2116770</v>
      </c>
      <c r="P35" s="33">
        <v>1854607</v>
      </c>
      <c r="Q35" s="33">
        <v>1896424</v>
      </c>
      <c r="R35" s="33">
        <v>2691706</v>
      </c>
      <c r="S35" s="33">
        <v>3380404</v>
      </c>
      <c r="T35" s="33">
        <v>657083</v>
      </c>
    </row>
    <row r="36" spans="1:20" x14ac:dyDescent="0.3">
      <c r="A36" s="5" t="s">
        <v>76</v>
      </c>
      <c r="B36" s="30">
        <v>2018</v>
      </c>
      <c r="C36" s="33">
        <v>51826059</v>
      </c>
      <c r="D36" s="33">
        <v>9765623</v>
      </c>
      <c r="E36" s="33">
        <v>3441453</v>
      </c>
      <c r="F36" s="33">
        <v>2461769</v>
      </c>
      <c r="G36" s="33">
        <v>2954642</v>
      </c>
      <c r="H36" s="32">
        <v>1459336</v>
      </c>
      <c r="I36" s="32">
        <v>1489936</v>
      </c>
      <c r="J36" s="33">
        <v>1155623</v>
      </c>
      <c r="K36" s="33">
        <v>314126</v>
      </c>
      <c r="L36" s="33">
        <v>13077153</v>
      </c>
      <c r="M36" s="32">
        <v>1543052</v>
      </c>
      <c r="N36" s="33">
        <v>1599252</v>
      </c>
      <c r="O36" s="33">
        <v>2126282</v>
      </c>
      <c r="P36" s="33">
        <v>1836832</v>
      </c>
      <c r="Q36" s="33">
        <v>1882970</v>
      </c>
      <c r="R36" s="33">
        <v>2676831</v>
      </c>
      <c r="S36" s="33">
        <v>3373988</v>
      </c>
      <c r="T36" s="33">
        <v>667191</v>
      </c>
    </row>
    <row r="37" spans="1:20" x14ac:dyDescent="0.3">
      <c r="A37" s="5" t="s">
        <v>76</v>
      </c>
      <c r="B37" s="30">
        <v>2019</v>
      </c>
      <c r="C37" s="33">
        <v>51849861</v>
      </c>
      <c r="D37" s="33">
        <v>9729107</v>
      </c>
      <c r="E37" s="33">
        <v>3413841</v>
      </c>
      <c r="F37" s="33">
        <v>2438031</v>
      </c>
      <c r="G37" s="33">
        <v>2957026</v>
      </c>
      <c r="H37" s="33">
        <v>1456468</v>
      </c>
      <c r="I37" s="33">
        <v>1474870</v>
      </c>
      <c r="J37" s="33">
        <v>1148019</v>
      </c>
      <c r="K37" s="33">
        <v>340575</v>
      </c>
      <c r="L37" s="33">
        <v>13239666</v>
      </c>
      <c r="M37" s="33">
        <v>1541502</v>
      </c>
      <c r="N37" s="33">
        <v>1600007</v>
      </c>
      <c r="O37" s="33">
        <v>2123709</v>
      </c>
      <c r="P37" s="33">
        <v>1818917</v>
      </c>
      <c r="Q37" s="33">
        <v>1868745</v>
      </c>
      <c r="R37" s="33">
        <v>2665836</v>
      </c>
      <c r="S37" s="33">
        <v>3362553</v>
      </c>
      <c r="T37" s="33">
        <v>670989</v>
      </c>
    </row>
    <row r="38" spans="1:20" x14ac:dyDescent="0.3">
      <c r="A38" s="5" t="s">
        <v>76</v>
      </c>
      <c r="B38" s="30">
        <v>2020</v>
      </c>
      <c r="C38" s="33">
        <v>51829023</v>
      </c>
      <c r="D38" s="33">
        <v>9668465</v>
      </c>
      <c r="E38" s="33">
        <v>3391946</v>
      </c>
      <c r="F38" s="33">
        <v>2418346</v>
      </c>
      <c r="G38" s="33">
        <v>2942828</v>
      </c>
      <c r="H38" s="33">
        <v>1450062</v>
      </c>
      <c r="I38" s="33">
        <v>1463882</v>
      </c>
      <c r="J38" s="33">
        <v>1136017</v>
      </c>
      <c r="K38" s="33">
        <v>355831</v>
      </c>
      <c r="L38" s="33">
        <v>13427014</v>
      </c>
      <c r="M38" s="33">
        <v>1542840</v>
      </c>
      <c r="N38" s="33">
        <v>1600837</v>
      </c>
      <c r="O38" s="33">
        <v>2121029</v>
      </c>
      <c r="P38" s="33">
        <v>1804104</v>
      </c>
      <c r="Q38" s="33">
        <v>1851549</v>
      </c>
      <c r="R38" s="33">
        <v>2639422</v>
      </c>
      <c r="S38" s="33">
        <v>3340216</v>
      </c>
      <c r="T38" s="33">
        <v>674635</v>
      </c>
    </row>
    <row r="39" spans="1:20" x14ac:dyDescent="0.3">
      <c r="A39" s="5" t="s">
        <v>76</v>
      </c>
      <c r="B39" s="30">
        <v>2021</v>
      </c>
      <c r="C39" s="33">
        <v>51638809</v>
      </c>
      <c r="D39" s="33">
        <v>9509458</v>
      </c>
      <c r="E39" s="33">
        <v>3350380</v>
      </c>
      <c r="F39" s="33">
        <v>2385412</v>
      </c>
      <c r="G39" s="33">
        <v>2948375</v>
      </c>
      <c r="H39" s="33">
        <v>1441611</v>
      </c>
      <c r="I39" s="33">
        <v>1452251</v>
      </c>
      <c r="J39" s="33">
        <v>1121592</v>
      </c>
      <c r="K39" s="33">
        <v>371895</v>
      </c>
      <c r="L39" s="33">
        <v>13565450</v>
      </c>
      <c r="M39" s="33">
        <v>1538492</v>
      </c>
      <c r="N39" s="33">
        <v>1597427</v>
      </c>
      <c r="O39" s="33">
        <v>2119257</v>
      </c>
      <c r="P39" s="33">
        <v>1786855</v>
      </c>
      <c r="Q39" s="33">
        <v>1832803</v>
      </c>
      <c r="R39" s="33">
        <v>2626609</v>
      </c>
      <c r="S39" s="33">
        <v>3314183</v>
      </c>
      <c r="T39" s="33">
        <v>676759</v>
      </c>
    </row>
    <row r="40" spans="1:20" x14ac:dyDescent="0.3">
      <c r="A40" s="5" t="s">
        <v>76</v>
      </c>
      <c r="B40" s="30">
        <v>2022</v>
      </c>
      <c r="C40" s="33">
        <v>51439038</v>
      </c>
      <c r="D40" s="33">
        <v>9428372</v>
      </c>
      <c r="E40" s="33">
        <v>3317812</v>
      </c>
      <c r="F40" s="33">
        <v>2363691</v>
      </c>
      <c r="G40" s="33">
        <v>2967314</v>
      </c>
      <c r="H40" s="33">
        <v>1431050</v>
      </c>
      <c r="I40" s="33">
        <v>1446072</v>
      </c>
      <c r="J40" s="33">
        <v>1110663</v>
      </c>
      <c r="K40" s="33">
        <v>383591</v>
      </c>
      <c r="L40" s="33">
        <v>13589432</v>
      </c>
      <c r="M40" s="33">
        <v>1536498</v>
      </c>
      <c r="N40" s="33">
        <v>1595058</v>
      </c>
      <c r="O40" s="33">
        <v>2123037</v>
      </c>
      <c r="P40" s="33">
        <v>1769607</v>
      </c>
      <c r="Q40" s="33">
        <v>1817697</v>
      </c>
      <c r="R40" s="33">
        <v>2600492</v>
      </c>
      <c r="S40" s="33">
        <v>3280493</v>
      </c>
      <c r="T40" s="33">
        <v>678159</v>
      </c>
    </row>
    <row r="41" spans="1:20" x14ac:dyDescent="0.3">
      <c r="A41" s="6" t="s">
        <v>76</v>
      </c>
      <c r="B41" s="35">
        <v>2023</v>
      </c>
      <c r="C41" s="33">
        <v>51325329</v>
      </c>
      <c r="D41" s="33">
        <v>9386034</v>
      </c>
      <c r="E41" s="33">
        <v>3293362</v>
      </c>
      <c r="F41" s="33">
        <v>2374960</v>
      </c>
      <c r="G41" s="33">
        <v>2997410</v>
      </c>
      <c r="H41" s="33">
        <v>1419237</v>
      </c>
      <c r="I41" s="33">
        <v>1442216</v>
      </c>
      <c r="J41" s="33">
        <v>1103661</v>
      </c>
      <c r="K41" s="33">
        <v>386525</v>
      </c>
      <c r="L41" s="33">
        <v>13630821</v>
      </c>
      <c r="M41" s="33">
        <v>1527807</v>
      </c>
      <c r="N41" s="33">
        <v>1593469</v>
      </c>
      <c r="O41" s="33">
        <v>2130119</v>
      </c>
      <c r="P41" s="33">
        <v>1754757</v>
      </c>
      <c r="Q41" s="33">
        <v>1804217</v>
      </c>
      <c r="R41" s="33">
        <v>2554324</v>
      </c>
      <c r="S41" s="33">
        <v>3251158</v>
      </c>
      <c r="T41" s="33">
        <v>675252</v>
      </c>
    </row>
  </sheetData>
  <sortState xmlns:xlrd2="http://schemas.microsoft.com/office/spreadsheetml/2017/richdata2" ref="A2:T41">
    <sortCondition ref="A2:A41" customList="약취와 유인"/>
    <sortCondition ref="B2:B41"/>
  </sortState>
  <phoneticPr fontId="1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4F27-20E7-4469-9B30-3A44D898522C}">
  <dimension ref="A1:W14"/>
  <sheetViews>
    <sheetView workbookViewId="0"/>
  </sheetViews>
  <sheetFormatPr defaultRowHeight="16.5" x14ac:dyDescent="0.3"/>
  <cols>
    <col min="1" max="1" width="11.625" bestFit="1" customWidth="1"/>
    <col min="4" max="4" width="21.375" bestFit="1" customWidth="1"/>
    <col min="9" max="9" width="17.875" bestFit="1" customWidth="1"/>
    <col min="10" max="10" width="13" bestFit="1" customWidth="1"/>
    <col min="15" max="15" width="15.125" bestFit="1" customWidth="1"/>
  </cols>
  <sheetData>
    <row r="1" spans="1:23" x14ac:dyDescent="0.3">
      <c r="A1" s="37" t="s">
        <v>125</v>
      </c>
      <c r="B1" s="37" t="s">
        <v>16</v>
      </c>
      <c r="C1" s="38" t="s">
        <v>78</v>
      </c>
      <c r="D1" s="38" t="s">
        <v>79</v>
      </c>
      <c r="E1" s="38" t="s">
        <v>80</v>
      </c>
      <c r="F1" s="38" t="s">
        <v>81</v>
      </c>
      <c r="G1" s="38" t="s">
        <v>82</v>
      </c>
      <c r="H1" s="38" t="s">
        <v>83</v>
      </c>
      <c r="I1" s="38" t="s">
        <v>84</v>
      </c>
      <c r="J1" s="38" t="s">
        <v>85</v>
      </c>
      <c r="K1" s="38" t="s">
        <v>86</v>
      </c>
      <c r="L1" s="38" t="s">
        <v>87</v>
      </c>
      <c r="M1" s="38" t="s">
        <v>88</v>
      </c>
      <c r="N1" s="38" t="s">
        <v>89</v>
      </c>
      <c r="O1" s="38" t="s">
        <v>90</v>
      </c>
      <c r="P1" s="38" t="s">
        <v>91</v>
      </c>
      <c r="Q1" s="38" t="s">
        <v>92</v>
      </c>
      <c r="R1" s="38" t="s">
        <v>93</v>
      </c>
      <c r="S1" s="38" t="s">
        <v>94</v>
      </c>
      <c r="T1" s="38" t="s">
        <v>95</v>
      </c>
      <c r="U1" s="38" t="s">
        <v>96</v>
      </c>
      <c r="V1" s="38" t="s">
        <v>97</v>
      </c>
      <c r="W1" s="38" t="s">
        <v>98</v>
      </c>
    </row>
    <row r="2" spans="1:23" x14ac:dyDescent="0.3">
      <c r="A2" s="40" t="s">
        <v>27</v>
      </c>
      <c r="B2" s="26">
        <v>2011</v>
      </c>
      <c r="C2" s="39">
        <v>272</v>
      </c>
      <c r="D2" s="39">
        <v>20</v>
      </c>
      <c r="E2" s="39">
        <v>27</v>
      </c>
      <c r="F2" s="39">
        <v>99</v>
      </c>
      <c r="G2" s="39">
        <v>3</v>
      </c>
      <c r="H2" s="39">
        <v>0</v>
      </c>
      <c r="I2" s="39">
        <v>18</v>
      </c>
      <c r="J2" s="39">
        <v>6</v>
      </c>
      <c r="K2" s="39">
        <v>3</v>
      </c>
      <c r="L2" s="39">
        <v>0</v>
      </c>
      <c r="M2" s="39">
        <v>5</v>
      </c>
      <c r="N2" s="39">
        <v>1</v>
      </c>
      <c r="O2" s="39">
        <v>2</v>
      </c>
      <c r="P2" s="39">
        <v>6</v>
      </c>
      <c r="Q2" s="39">
        <v>9</v>
      </c>
      <c r="R2" s="39">
        <v>0</v>
      </c>
      <c r="S2" s="39">
        <v>2</v>
      </c>
      <c r="T2" s="39">
        <v>2</v>
      </c>
      <c r="U2" s="39">
        <v>0</v>
      </c>
      <c r="V2" s="39">
        <v>0</v>
      </c>
      <c r="W2" s="39">
        <v>69</v>
      </c>
    </row>
    <row r="3" spans="1:23" x14ac:dyDescent="0.3">
      <c r="A3" s="43" t="s">
        <v>27</v>
      </c>
      <c r="B3" s="26">
        <v>2012</v>
      </c>
      <c r="C3" s="39">
        <v>212</v>
      </c>
      <c r="D3" s="39">
        <v>18</v>
      </c>
      <c r="E3" s="39">
        <v>21</v>
      </c>
      <c r="F3" s="39">
        <v>62</v>
      </c>
      <c r="G3" s="39">
        <v>1</v>
      </c>
      <c r="H3" s="39">
        <v>1</v>
      </c>
      <c r="I3" s="39">
        <v>17</v>
      </c>
      <c r="J3" s="39">
        <v>4</v>
      </c>
      <c r="K3" s="39">
        <v>3</v>
      </c>
      <c r="L3" s="39">
        <v>0</v>
      </c>
      <c r="M3" s="39">
        <v>1</v>
      </c>
      <c r="N3" s="39">
        <v>1</v>
      </c>
      <c r="O3" s="39">
        <v>4</v>
      </c>
      <c r="P3" s="39">
        <v>1</v>
      </c>
      <c r="Q3" s="39">
        <v>6</v>
      </c>
      <c r="R3" s="39">
        <v>0</v>
      </c>
      <c r="S3" s="39">
        <v>2</v>
      </c>
      <c r="T3" s="39">
        <v>3</v>
      </c>
      <c r="U3" s="39">
        <v>0</v>
      </c>
      <c r="V3" s="39">
        <v>0</v>
      </c>
      <c r="W3" s="39">
        <v>67</v>
      </c>
    </row>
    <row r="4" spans="1:23" x14ac:dyDescent="0.3">
      <c r="A4" s="43" t="s">
        <v>27</v>
      </c>
      <c r="B4" s="26">
        <v>2013</v>
      </c>
      <c r="C4" s="39">
        <v>194</v>
      </c>
      <c r="D4" s="39">
        <v>22</v>
      </c>
      <c r="E4" s="39">
        <v>30</v>
      </c>
      <c r="F4" s="39">
        <v>62</v>
      </c>
      <c r="G4" s="39">
        <v>2</v>
      </c>
      <c r="H4" s="39">
        <v>0</v>
      </c>
      <c r="I4" s="39">
        <v>14</v>
      </c>
      <c r="J4" s="39">
        <v>2</v>
      </c>
      <c r="K4" s="39">
        <v>5</v>
      </c>
      <c r="L4" s="39">
        <v>1</v>
      </c>
      <c r="M4" s="39">
        <v>7</v>
      </c>
      <c r="N4" s="39">
        <v>0</v>
      </c>
      <c r="O4" s="39">
        <v>4</v>
      </c>
      <c r="P4" s="39">
        <v>6</v>
      </c>
      <c r="Q4" s="39">
        <v>11</v>
      </c>
      <c r="R4" s="39">
        <v>0</v>
      </c>
      <c r="S4" s="39">
        <v>3</v>
      </c>
      <c r="T4" s="39">
        <v>0</v>
      </c>
      <c r="U4" s="39">
        <v>0</v>
      </c>
      <c r="V4" s="39">
        <v>0</v>
      </c>
      <c r="W4" s="39">
        <v>25</v>
      </c>
    </row>
    <row r="5" spans="1:23" x14ac:dyDescent="0.3">
      <c r="A5" s="43" t="s">
        <v>27</v>
      </c>
      <c r="B5" s="26">
        <v>2014</v>
      </c>
      <c r="C5" s="39">
        <v>206</v>
      </c>
      <c r="D5" s="39">
        <v>22</v>
      </c>
      <c r="E5" s="39">
        <v>21</v>
      </c>
      <c r="F5" s="39">
        <v>66</v>
      </c>
      <c r="G5" s="39">
        <v>3</v>
      </c>
      <c r="H5" s="39">
        <v>1</v>
      </c>
      <c r="I5" s="39">
        <v>8</v>
      </c>
      <c r="J5" s="39">
        <v>4</v>
      </c>
      <c r="K5" s="39">
        <v>4</v>
      </c>
      <c r="L5" s="39">
        <v>0</v>
      </c>
      <c r="M5" s="39">
        <v>6</v>
      </c>
      <c r="N5" s="39">
        <v>0</v>
      </c>
      <c r="O5" s="39">
        <v>5</v>
      </c>
      <c r="P5" s="39">
        <v>1</v>
      </c>
      <c r="Q5" s="39">
        <v>9</v>
      </c>
      <c r="R5" s="39">
        <v>1</v>
      </c>
      <c r="S5" s="39">
        <v>2</v>
      </c>
      <c r="T5" s="39">
        <v>1</v>
      </c>
      <c r="U5" s="39">
        <v>1</v>
      </c>
      <c r="V5" s="39">
        <v>1</v>
      </c>
      <c r="W5" s="39">
        <v>50</v>
      </c>
    </row>
    <row r="6" spans="1:23" x14ac:dyDescent="0.3">
      <c r="A6" s="43" t="s">
        <v>27</v>
      </c>
      <c r="B6" s="26">
        <v>2015</v>
      </c>
      <c r="C6" s="39">
        <v>195</v>
      </c>
      <c r="D6" s="39">
        <v>20</v>
      </c>
      <c r="E6" s="39">
        <v>18</v>
      </c>
      <c r="F6" s="39">
        <v>65</v>
      </c>
      <c r="G6" s="39">
        <v>1</v>
      </c>
      <c r="H6" s="39">
        <v>0</v>
      </c>
      <c r="I6" s="39">
        <v>8</v>
      </c>
      <c r="J6" s="39">
        <v>3</v>
      </c>
      <c r="K6" s="39">
        <v>1</v>
      </c>
      <c r="L6" s="39">
        <v>0</v>
      </c>
      <c r="M6" s="39">
        <v>5</v>
      </c>
      <c r="N6" s="39">
        <v>0</v>
      </c>
      <c r="O6" s="39">
        <v>4</v>
      </c>
      <c r="P6" s="39">
        <v>3</v>
      </c>
      <c r="Q6" s="39">
        <v>6</v>
      </c>
      <c r="R6" s="39">
        <v>0</v>
      </c>
      <c r="S6" s="39">
        <v>7</v>
      </c>
      <c r="T6" s="39">
        <v>2</v>
      </c>
      <c r="U6" s="39">
        <v>0</v>
      </c>
      <c r="V6" s="39">
        <v>0</v>
      </c>
      <c r="W6" s="39">
        <v>52</v>
      </c>
    </row>
    <row r="7" spans="1:23" x14ac:dyDescent="0.3">
      <c r="A7" s="43" t="s">
        <v>27</v>
      </c>
      <c r="B7" s="26">
        <v>2016</v>
      </c>
      <c r="C7" s="39">
        <v>203</v>
      </c>
      <c r="D7" s="39">
        <v>25</v>
      </c>
      <c r="E7" s="39">
        <v>16</v>
      </c>
      <c r="F7" s="39">
        <v>79</v>
      </c>
      <c r="G7" s="39">
        <v>3</v>
      </c>
      <c r="H7" s="39">
        <v>1</v>
      </c>
      <c r="I7" s="39">
        <v>11</v>
      </c>
      <c r="J7" s="39">
        <v>11</v>
      </c>
      <c r="K7" s="39">
        <v>0</v>
      </c>
      <c r="L7" s="39">
        <v>0</v>
      </c>
      <c r="M7" s="39">
        <v>1</v>
      </c>
      <c r="N7" s="39">
        <v>0</v>
      </c>
      <c r="O7" s="39">
        <v>4</v>
      </c>
      <c r="P7" s="39">
        <v>3</v>
      </c>
      <c r="Q7" s="39">
        <v>5</v>
      </c>
      <c r="R7" s="39">
        <v>0</v>
      </c>
      <c r="S7" s="39">
        <v>2</v>
      </c>
      <c r="T7" s="39">
        <v>1</v>
      </c>
      <c r="U7" s="39">
        <v>0</v>
      </c>
      <c r="V7" s="39">
        <v>0</v>
      </c>
      <c r="W7" s="39">
        <v>41</v>
      </c>
    </row>
    <row r="8" spans="1:23" x14ac:dyDescent="0.3">
      <c r="A8" s="43" t="s">
        <v>27</v>
      </c>
      <c r="B8" s="26">
        <v>2017</v>
      </c>
      <c r="C8" s="39">
        <v>216</v>
      </c>
      <c r="D8" s="39">
        <v>23</v>
      </c>
      <c r="E8" s="39">
        <v>11</v>
      </c>
      <c r="F8" s="39">
        <v>78</v>
      </c>
      <c r="G8" s="39">
        <v>2</v>
      </c>
      <c r="H8" s="39">
        <v>0</v>
      </c>
      <c r="I8" s="39">
        <v>8</v>
      </c>
      <c r="J8" s="39">
        <v>6</v>
      </c>
      <c r="K8" s="39">
        <v>1</v>
      </c>
      <c r="L8" s="39">
        <v>0</v>
      </c>
      <c r="M8" s="39">
        <v>4</v>
      </c>
      <c r="N8" s="39">
        <v>1</v>
      </c>
      <c r="O8" s="39">
        <v>1</v>
      </c>
      <c r="P8" s="39">
        <v>3</v>
      </c>
      <c r="Q8" s="39">
        <v>14</v>
      </c>
      <c r="R8" s="39">
        <v>0</v>
      </c>
      <c r="S8" s="39">
        <v>1</v>
      </c>
      <c r="T8" s="39">
        <v>1</v>
      </c>
      <c r="U8" s="39">
        <v>1</v>
      </c>
      <c r="V8" s="39">
        <v>0</v>
      </c>
      <c r="W8" s="39">
        <v>61</v>
      </c>
    </row>
    <row r="9" spans="1:23" x14ac:dyDescent="0.3">
      <c r="A9" s="43" t="s">
        <v>27</v>
      </c>
      <c r="B9" s="26">
        <v>2018</v>
      </c>
      <c r="C9" s="39">
        <v>199</v>
      </c>
      <c r="D9" s="39">
        <v>26</v>
      </c>
      <c r="E9" s="39">
        <v>11</v>
      </c>
      <c r="F9" s="39">
        <v>83</v>
      </c>
      <c r="G9" s="39">
        <v>1</v>
      </c>
      <c r="H9" s="39">
        <v>3</v>
      </c>
      <c r="I9" s="39">
        <v>4</v>
      </c>
      <c r="J9" s="39">
        <v>2</v>
      </c>
      <c r="K9" s="39">
        <v>4</v>
      </c>
      <c r="L9" s="39">
        <v>0</v>
      </c>
      <c r="M9" s="39">
        <v>5</v>
      </c>
      <c r="N9" s="39">
        <v>0</v>
      </c>
      <c r="O9" s="39">
        <v>3</v>
      </c>
      <c r="P9" s="39">
        <v>1</v>
      </c>
      <c r="Q9" s="39">
        <v>15</v>
      </c>
      <c r="R9" s="39">
        <v>0</v>
      </c>
      <c r="S9" s="39">
        <v>3</v>
      </c>
      <c r="T9" s="39">
        <v>0</v>
      </c>
      <c r="U9" s="39">
        <v>1</v>
      </c>
      <c r="V9" s="39">
        <v>0</v>
      </c>
      <c r="W9" s="39">
        <v>37</v>
      </c>
    </row>
    <row r="10" spans="1:23" x14ac:dyDescent="0.3">
      <c r="A10" s="43" t="s">
        <v>27</v>
      </c>
      <c r="B10" s="26">
        <v>2019</v>
      </c>
      <c r="C10" s="39">
        <v>260</v>
      </c>
      <c r="D10" s="39">
        <v>41</v>
      </c>
      <c r="E10" s="39">
        <v>26</v>
      </c>
      <c r="F10" s="39">
        <v>102</v>
      </c>
      <c r="G10" s="39">
        <v>3</v>
      </c>
      <c r="H10" s="39">
        <v>0</v>
      </c>
      <c r="I10" s="39">
        <v>11</v>
      </c>
      <c r="J10" s="39">
        <v>8</v>
      </c>
      <c r="K10" s="39">
        <v>3</v>
      </c>
      <c r="L10" s="39">
        <v>0</v>
      </c>
      <c r="M10" s="39">
        <v>3</v>
      </c>
      <c r="N10" s="39">
        <v>0</v>
      </c>
      <c r="O10" s="39">
        <v>3</v>
      </c>
      <c r="P10" s="39">
        <v>5</v>
      </c>
      <c r="Q10" s="39">
        <v>16</v>
      </c>
      <c r="R10" s="39">
        <v>1</v>
      </c>
      <c r="S10" s="39">
        <v>3</v>
      </c>
      <c r="T10" s="39">
        <v>1</v>
      </c>
      <c r="U10" s="39">
        <v>0</v>
      </c>
      <c r="V10" s="39">
        <v>1</v>
      </c>
      <c r="W10" s="39">
        <v>33</v>
      </c>
    </row>
    <row r="11" spans="1:23" x14ac:dyDescent="0.3">
      <c r="A11" s="43" t="s">
        <v>27</v>
      </c>
      <c r="B11" s="26">
        <v>2020</v>
      </c>
      <c r="C11" s="39">
        <v>223</v>
      </c>
      <c r="D11" s="39">
        <v>39</v>
      </c>
      <c r="E11" s="39">
        <v>23</v>
      </c>
      <c r="F11" s="39">
        <v>78</v>
      </c>
      <c r="G11" s="39">
        <v>2</v>
      </c>
      <c r="H11" s="39">
        <v>3</v>
      </c>
      <c r="I11" s="39">
        <v>16</v>
      </c>
      <c r="J11" s="39">
        <v>2</v>
      </c>
      <c r="K11" s="39">
        <v>2</v>
      </c>
      <c r="L11" s="39">
        <v>0</v>
      </c>
      <c r="M11" s="39">
        <v>3</v>
      </c>
      <c r="N11" s="39">
        <v>0</v>
      </c>
      <c r="O11" s="39">
        <v>2</v>
      </c>
      <c r="P11" s="39">
        <v>6</v>
      </c>
      <c r="Q11" s="39">
        <v>4</v>
      </c>
      <c r="R11" s="39">
        <v>1</v>
      </c>
      <c r="S11" s="39">
        <v>1</v>
      </c>
      <c r="T11" s="39">
        <v>0</v>
      </c>
      <c r="U11" s="39">
        <v>0</v>
      </c>
      <c r="V11" s="39">
        <v>0</v>
      </c>
      <c r="W11" s="39">
        <v>41</v>
      </c>
    </row>
    <row r="12" spans="1:23" x14ac:dyDescent="0.3">
      <c r="A12" s="43" t="s">
        <v>27</v>
      </c>
      <c r="B12" s="26">
        <v>2021</v>
      </c>
      <c r="C12" s="42">
        <v>251</v>
      </c>
      <c r="D12" s="42">
        <v>50</v>
      </c>
      <c r="E12" s="42">
        <v>17</v>
      </c>
      <c r="F12" s="42">
        <v>112</v>
      </c>
      <c r="G12" s="42">
        <v>2</v>
      </c>
      <c r="H12" s="42">
        <v>1</v>
      </c>
      <c r="I12" s="42">
        <v>10</v>
      </c>
      <c r="J12" s="42">
        <v>1</v>
      </c>
      <c r="K12" s="42">
        <v>4</v>
      </c>
      <c r="L12" s="42">
        <v>0</v>
      </c>
      <c r="M12" s="42">
        <v>0</v>
      </c>
      <c r="N12" s="42">
        <v>1</v>
      </c>
      <c r="O12" s="42">
        <v>3</v>
      </c>
      <c r="P12" s="42">
        <v>2</v>
      </c>
      <c r="Q12" s="42">
        <v>7</v>
      </c>
      <c r="R12" s="42">
        <v>2</v>
      </c>
      <c r="S12" s="42">
        <v>1</v>
      </c>
      <c r="T12" s="42">
        <v>2</v>
      </c>
      <c r="U12" s="42">
        <v>0</v>
      </c>
      <c r="V12" s="42">
        <v>0</v>
      </c>
      <c r="W12" s="42">
        <v>36</v>
      </c>
    </row>
    <row r="13" spans="1:23" x14ac:dyDescent="0.3">
      <c r="A13" s="43" t="s">
        <v>27</v>
      </c>
      <c r="B13" s="26">
        <v>2022</v>
      </c>
      <c r="C13" s="42">
        <v>284</v>
      </c>
      <c r="D13" s="42">
        <v>53</v>
      </c>
      <c r="E13" s="42">
        <v>19</v>
      </c>
      <c r="F13" s="42">
        <v>122</v>
      </c>
      <c r="G13" s="42">
        <v>2</v>
      </c>
      <c r="H13" s="42">
        <v>2</v>
      </c>
      <c r="I13" s="42">
        <v>11</v>
      </c>
      <c r="J13" s="42">
        <v>0</v>
      </c>
      <c r="K13" s="42">
        <v>2</v>
      </c>
      <c r="L13" s="42">
        <v>0</v>
      </c>
      <c r="M13" s="42">
        <v>1</v>
      </c>
      <c r="N13" s="42">
        <v>0</v>
      </c>
      <c r="O13" s="42">
        <v>0</v>
      </c>
      <c r="P13" s="42">
        <v>9</v>
      </c>
      <c r="Q13" s="42">
        <v>15</v>
      </c>
      <c r="R13" s="42">
        <v>0</v>
      </c>
      <c r="S13" s="42">
        <v>2</v>
      </c>
      <c r="T13" s="42">
        <v>3</v>
      </c>
      <c r="U13" s="42">
        <v>0</v>
      </c>
      <c r="V13" s="42">
        <v>0</v>
      </c>
      <c r="W13" s="42">
        <v>43</v>
      </c>
    </row>
    <row r="14" spans="1:23" x14ac:dyDescent="0.3">
      <c r="A14" s="44" t="s">
        <v>27</v>
      </c>
      <c r="B14" s="41">
        <v>2023</v>
      </c>
      <c r="C14" s="42">
        <v>349</v>
      </c>
      <c r="D14" s="42">
        <v>64</v>
      </c>
      <c r="E14" s="42">
        <v>15</v>
      </c>
      <c r="F14" s="42">
        <v>141</v>
      </c>
      <c r="G14" s="42">
        <v>5</v>
      </c>
      <c r="H14" s="42">
        <v>0</v>
      </c>
      <c r="I14" s="42">
        <v>7</v>
      </c>
      <c r="J14" s="42">
        <v>14</v>
      </c>
      <c r="K14" s="42">
        <v>2</v>
      </c>
      <c r="L14" s="42">
        <v>0</v>
      </c>
      <c r="M14" s="42">
        <v>3</v>
      </c>
      <c r="N14" s="42">
        <v>0</v>
      </c>
      <c r="O14" s="42">
        <v>3</v>
      </c>
      <c r="P14" s="42">
        <v>9</v>
      </c>
      <c r="Q14" s="42">
        <v>14</v>
      </c>
      <c r="R14" s="42">
        <v>0</v>
      </c>
      <c r="S14" s="42">
        <v>0</v>
      </c>
      <c r="T14" s="42">
        <v>0</v>
      </c>
      <c r="U14" s="42">
        <v>0</v>
      </c>
      <c r="V14" s="42">
        <v>0</v>
      </c>
      <c r="W14" s="42">
        <v>72</v>
      </c>
    </row>
  </sheetData>
  <sortState xmlns:xlrd2="http://schemas.microsoft.com/office/spreadsheetml/2017/richdata2" ref="A2:W14">
    <sortCondition ref="B2:B14"/>
  </sortState>
  <phoneticPr fontId="1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12926-4F98-4F87-BA29-4BE1BAF2D742}">
  <dimension ref="A1:L11"/>
  <sheetViews>
    <sheetView tabSelected="1" workbookViewId="0"/>
  </sheetViews>
  <sheetFormatPr defaultRowHeight="16.5" x14ac:dyDescent="0.3"/>
  <cols>
    <col min="1" max="1" width="11" bestFit="1" customWidth="1"/>
    <col min="4" max="11" width="11.125" bestFit="1" customWidth="1"/>
  </cols>
  <sheetData>
    <row r="1" spans="1:12" x14ac:dyDescent="0.3">
      <c r="A1" s="46" t="s">
        <v>125</v>
      </c>
      <c r="B1" s="46" t="s">
        <v>16</v>
      </c>
      <c r="C1" s="47" t="s">
        <v>64</v>
      </c>
      <c r="D1" s="47" t="s">
        <v>99</v>
      </c>
      <c r="E1" s="47" t="s">
        <v>100</v>
      </c>
      <c r="F1" s="47" t="s">
        <v>101</v>
      </c>
      <c r="G1" s="47" t="s">
        <v>102</v>
      </c>
      <c r="H1" s="47" t="s">
        <v>103</v>
      </c>
      <c r="I1" s="47" t="s">
        <v>104</v>
      </c>
      <c r="J1" s="47" t="s">
        <v>105</v>
      </c>
      <c r="K1" s="47" t="s">
        <v>106</v>
      </c>
      <c r="L1" s="47" t="s">
        <v>107</v>
      </c>
    </row>
    <row r="2" spans="1:12" x14ac:dyDescent="0.3">
      <c r="A2" s="49" t="s">
        <v>108</v>
      </c>
      <c r="B2" s="26">
        <v>2014</v>
      </c>
      <c r="C2" s="48">
        <v>206</v>
      </c>
      <c r="D2" s="48">
        <v>6</v>
      </c>
      <c r="E2" s="48">
        <v>5</v>
      </c>
      <c r="F2" s="48">
        <v>18</v>
      </c>
      <c r="G2" s="48">
        <v>23</v>
      </c>
      <c r="H2" s="48">
        <v>28</v>
      </c>
      <c r="I2" s="48">
        <v>30</v>
      </c>
      <c r="J2" s="48">
        <v>27</v>
      </c>
      <c r="K2" s="48">
        <v>12</v>
      </c>
      <c r="L2" s="48">
        <v>57</v>
      </c>
    </row>
    <row r="3" spans="1:12" x14ac:dyDescent="0.3">
      <c r="A3" s="49" t="s">
        <v>108</v>
      </c>
      <c r="B3" s="26">
        <v>2015</v>
      </c>
      <c r="C3" s="48">
        <v>195</v>
      </c>
      <c r="D3" s="48">
        <v>6</v>
      </c>
      <c r="E3" s="48">
        <v>5</v>
      </c>
      <c r="F3" s="48">
        <v>10</v>
      </c>
      <c r="G3" s="48">
        <v>25</v>
      </c>
      <c r="H3" s="48">
        <v>24</v>
      </c>
      <c r="I3" s="48">
        <v>35</v>
      </c>
      <c r="J3" s="48">
        <v>20</v>
      </c>
      <c r="K3" s="48">
        <v>21</v>
      </c>
      <c r="L3" s="48">
        <v>49</v>
      </c>
    </row>
    <row r="4" spans="1:12" x14ac:dyDescent="0.3">
      <c r="A4" s="49" t="s">
        <v>108</v>
      </c>
      <c r="B4" s="26">
        <v>2016</v>
      </c>
      <c r="C4" s="48">
        <v>203</v>
      </c>
      <c r="D4" s="48">
        <v>7</v>
      </c>
      <c r="E4" s="48">
        <v>9</v>
      </c>
      <c r="F4" s="48">
        <v>9</v>
      </c>
      <c r="G4" s="48">
        <v>28</v>
      </c>
      <c r="H4" s="48">
        <v>28</v>
      </c>
      <c r="I4" s="48">
        <v>33</v>
      </c>
      <c r="J4" s="48">
        <v>32</v>
      </c>
      <c r="K4" s="48">
        <v>15</v>
      </c>
      <c r="L4" s="48">
        <v>42</v>
      </c>
    </row>
    <row r="5" spans="1:12" x14ac:dyDescent="0.3">
      <c r="A5" s="49" t="s">
        <v>108</v>
      </c>
      <c r="B5" s="26">
        <v>2017</v>
      </c>
      <c r="C5" s="48">
        <v>216</v>
      </c>
      <c r="D5" s="48">
        <v>12</v>
      </c>
      <c r="E5" s="48">
        <v>11</v>
      </c>
      <c r="F5" s="48">
        <v>13</v>
      </c>
      <c r="G5" s="48">
        <v>29</v>
      </c>
      <c r="H5" s="48">
        <v>30</v>
      </c>
      <c r="I5" s="48">
        <v>41</v>
      </c>
      <c r="J5" s="48">
        <v>30</v>
      </c>
      <c r="K5" s="48">
        <v>5</v>
      </c>
      <c r="L5" s="48">
        <v>45</v>
      </c>
    </row>
    <row r="6" spans="1:12" x14ac:dyDescent="0.3">
      <c r="A6" s="49" t="s">
        <v>108</v>
      </c>
      <c r="B6" s="26">
        <v>2018</v>
      </c>
      <c r="C6" s="48">
        <v>199</v>
      </c>
      <c r="D6" s="48">
        <v>2</v>
      </c>
      <c r="E6" s="48">
        <v>9</v>
      </c>
      <c r="F6" s="48">
        <v>14</v>
      </c>
      <c r="G6" s="48">
        <v>21</v>
      </c>
      <c r="H6" s="48">
        <v>44</v>
      </c>
      <c r="I6" s="48">
        <v>35</v>
      </c>
      <c r="J6" s="48">
        <v>28</v>
      </c>
      <c r="K6" s="48">
        <v>17</v>
      </c>
      <c r="L6" s="48">
        <v>29</v>
      </c>
    </row>
    <row r="7" spans="1:12" x14ac:dyDescent="0.3">
      <c r="A7" s="49" t="s">
        <v>108</v>
      </c>
      <c r="B7" s="26">
        <v>2019</v>
      </c>
      <c r="C7" s="48">
        <v>260</v>
      </c>
      <c r="D7" s="48">
        <v>10</v>
      </c>
      <c r="E7" s="48">
        <v>13</v>
      </c>
      <c r="F7" s="48">
        <v>17</v>
      </c>
      <c r="G7" s="48">
        <v>30</v>
      </c>
      <c r="H7" s="48">
        <v>43</v>
      </c>
      <c r="I7" s="48">
        <v>48</v>
      </c>
      <c r="J7" s="48">
        <v>32</v>
      </c>
      <c r="K7" s="48">
        <v>13</v>
      </c>
      <c r="L7" s="48">
        <v>54</v>
      </c>
    </row>
    <row r="8" spans="1:12" x14ac:dyDescent="0.3">
      <c r="A8" s="49" t="s">
        <v>108</v>
      </c>
      <c r="B8" s="26">
        <v>2020</v>
      </c>
      <c r="C8" s="48">
        <v>223</v>
      </c>
      <c r="D8" s="48">
        <v>8</v>
      </c>
      <c r="E8" s="48">
        <v>6</v>
      </c>
      <c r="F8" s="48">
        <v>9</v>
      </c>
      <c r="G8" s="48">
        <v>21</v>
      </c>
      <c r="H8" s="48">
        <v>46</v>
      </c>
      <c r="I8" s="48">
        <v>50</v>
      </c>
      <c r="J8" s="48">
        <v>23</v>
      </c>
      <c r="K8" s="48">
        <v>13</v>
      </c>
      <c r="L8" s="48">
        <v>47</v>
      </c>
    </row>
    <row r="9" spans="1:12" x14ac:dyDescent="0.3">
      <c r="A9" s="49" t="s">
        <v>108</v>
      </c>
      <c r="B9" s="26">
        <v>2021</v>
      </c>
      <c r="C9" s="48">
        <v>251</v>
      </c>
      <c r="D9" s="48">
        <v>8</v>
      </c>
      <c r="E9" s="48">
        <v>3</v>
      </c>
      <c r="F9" s="48">
        <v>9</v>
      </c>
      <c r="G9" s="48">
        <v>25</v>
      </c>
      <c r="H9" s="48">
        <v>47</v>
      </c>
      <c r="I9" s="48">
        <v>59</v>
      </c>
      <c r="J9" s="48">
        <v>37</v>
      </c>
      <c r="K9" s="48">
        <v>17</v>
      </c>
      <c r="L9" s="48">
        <v>46</v>
      </c>
    </row>
    <row r="10" spans="1:12" x14ac:dyDescent="0.3">
      <c r="A10" s="49" t="s">
        <v>108</v>
      </c>
      <c r="B10" s="26">
        <v>2022</v>
      </c>
      <c r="C10" s="48">
        <v>284</v>
      </c>
      <c r="D10" s="48">
        <v>7</v>
      </c>
      <c r="E10" s="48">
        <v>3</v>
      </c>
      <c r="F10" s="48">
        <v>15</v>
      </c>
      <c r="G10" s="48">
        <v>33</v>
      </c>
      <c r="H10" s="48">
        <v>43</v>
      </c>
      <c r="I10" s="48">
        <v>61</v>
      </c>
      <c r="J10" s="48">
        <v>42</v>
      </c>
      <c r="K10" s="48">
        <v>21</v>
      </c>
      <c r="L10" s="48">
        <v>59</v>
      </c>
    </row>
    <row r="11" spans="1:12" x14ac:dyDescent="0.3">
      <c r="A11" s="50" t="s">
        <v>108</v>
      </c>
      <c r="B11" s="41">
        <v>2023</v>
      </c>
      <c r="C11" s="48">
        <v>349</v>
      </c>
      <c r="D11" s="48">
        <v>12</v>
      </c>
      <c r="E11" s="48">
        <v>11</v>
      </c>
      <c r="F11" s="48">
        <v>8</v>
      </c>
      <c r="G11" s="48">
        <v>22</v>
      </c>
      <c r="H11" s="48">
        <v>58</v>
      </c>
      <c r="I11" s="48">
        <v>81</v>
      </c>
      <c r="J11" s="48">
        <v>40</v>
      </c>
      <c r="K11" s="48">
        <v>26</v>
      </c>
      <c r="L11" s="48">
        <v>91</v>
      </c>
    </row>
  </sheetData>
  <phoneticPr fontId="1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5306A-C8E8-42BC-946D-BDB517A963F9}">
  <dimension ref="A1:M37"/>
  <sheetViews>
    <sheetView workbookViewId="0"/>
  </sheetViews>
  <sheetFormatPr defaultRowHeight="16.5" x14ac:dyDescent="0.3"/>
  <cols>
    <col min="1" max="1" width="11" bestFit="1" customWidth="1"/>
  </cols>
  <sheetData>
    <row r="1" spans="1:13" x14ac:dyDescent="0.3">
      <c r="A1" s="51" t="s">
        <v>124</v>
      </c>
      <c r="B1" s="36" t="s">
        <v>123</v>
      </c>
      <c r="C1" s="51" t="s">
        <v>16</v>
      </c>
      <c r="D1" s="52" t="s">
        <v>64</v>
      </c>
      <c r="E1" s="52" t="s">
        <v>110</v>
      </c>
      <c r="F1" s="52" t="s">
        <v>111</v>
      </c>
      <c r="G1" s="52" t="s">
        <v>112</v>
      </c>
      <c r="H1" s="52" t="s">
        <v>113</v>
      </c>
      <c r="I1" s="52" t="s">
        <v>114</v>
      </c>
      <c r="J1" s="52" t="s">
        <v>115</v>
      </c>
      <c r="K1" s="52" t="s">
        <v>116</v>
      </c>
      <c r="L1" s="52" t="s">
        <v>117</v>
      </c>
      <c r="M1" s="52" t="s">
        <v>118</v>
      </c>
    </row>
    <row r="2" spans="1:13" x14ac:dyDescent="0.3">
      <c r="A2" s="45" t="s">
        <v>122</v>
      </c>
      <c r="B2" s="62" t="s">
        <v>64</v>
      </c>
      <c r="C2" s="57">
        <v>2011</v>
      </c>
      <c r="D2" s="53">
        <v>266</v>
      </c>
      <c r="E2" s="53">
        <f>E14+E26</f>
        <v>14</v>
      </c>
      <c r="F2" s="55">
        <f t="shared" ref="F2:M2" si="0">F14+F26</f>
        <v>75</v>
      </c>
      <c r="G2" s="55">
        <f t="shared" si="0"/>
        <v>60</v>
      </c>
      <c r="H2" s="55">
        <f t="shared" si="0"/>
        <v>44</v>
      </c>
      <c r="I2" s="55">
        <f t="shared" si="0"/>
        <v>32</v>
      </c>
      <c r="J2" s="55">
        <f t="shared" si="0"/>
        <v>23</v>
      </c>
      <c r="K2" s="55">
        <f t="shared" si="0"/>
        <v>13</v>
      </c>
      <c r="L2" s="55">
        <f t="shared" si="0"/>
        <v>2</v>
      </c>
      <c r="M2" s="55">
        <f t="shared" si="0"/>
        <v>3</v>
      </c>
    </row>
    <row r="3" spans="1:13" x14ac:dyDescent="0.3">
      <c r="A3" s="45" t="s">
        <v>122</v>
      </c>
      <c r="B3" s="56" t="s">
        <v>64</v>
      </c>
      <c r="C3" s="57">
        <v>2012</v>
      </c>
      <c r="D3" s="53">
        <v>200</v>
      </c>
      <c r="E3" s="55">
        <f t="shared" ref="E3:M3" si="1">E15+E27</f>
        <v>28</v>
      </c>
      <c r="F3" s="55">
        <f t="shared" si="1"/>
        <v>62</v>
      </c>
      <c r="G3" s="55">
        <f t="shared" si="1"/>
        <v>43</v>
      </c>
      <c r="H3" s="55">
        <f t="shared" si="1"/>
        <v>34</v>
      </c>
      <c r="I3" s="55">
        <f t="shared" si="1"/>
        <v>10</v>
      </c>
      <c r="J3" s="55">
        <f t="shared" si="1"/>
        <v>7</v>
      </c>
      <c r="K3" s="55">
        <f t="shared" si="1"/>
        <v>2</v>
      </c>
      <c r="L3" s="55">
        <f t="shared" si="1"/>
        <v>10</v>
      </c>
      <c r="M3" s="55">
        <f t="shared" si="1"/>
        <v>3</v>
      </c>
    </row>
    <row r="4" spans="1:13" x14ac:dyDescent="0.3">
      <c r="A4" s="45" t="s">
        <v>122</v>
      </c>
      <c r="B4" s="56" t="s">
        <v>64</v>
      </c>
      <c r="C4" s="57">
        <v>2013</v>
      </c>
      <c r="D4" s="53">
        <v>188</v>
      </c>
      <c r="E4" s="55">
        <f t="shared" ref="E4:M4" si="2">E16+E28</f>
        <v>34</v>
      </c>
      <c r="F4" s="55">
        <f t="shared" si="2"/>
        <v>49</v>
      </c>
      <c r="G4" s="55">
        <f t="shared" si="2"/>
        <v>32</v>
      </c>
      <c r="H4" s="55">
        <f t="shared" si="2"/>
        <v>29</v>
      </c>
      <c r="I4" s="55">
        <f t="shared" si="2"/>
        <v>20</v>
      </c>
      <c r="J4" s="55">
        <f t="shared" si="2"/>
        <v>11</v>
      </c>
      <c r="K4" s="55">
        <f t="shared" si="2"/>
        <v>5</v>
      </c>
      <c r="L4" s="55">
        <f t="shared" si="2"/>
        <v>2</v>
      </c>
      <c r="M4" s="55">
        <f t="shared" si="2"/>
        <v>6</v>
      </c>
    </row>
    <row r="5" spans="1:13" x14ac:dyDescent="0.3">
      <c r="A5" s="45" t="s">
        <v>122</v>
      </c>
      <c r="B5" s="56" t="s">
        <v>64</v>
      </c>
      <c r="C5" s="57">
        <v>2014</v>
      </c>
      <c r="D5" s="53">
        <v>198</v>
      </c>
      <c r="E5" s="55">
        <f t="shared" ref="E5:M5" si="3">E17+E29</f>
        <v>33</v>
      </c>
      <c r="F5" s="55">
        <f t="shared" si="3"/>
        <v>46</v>
      </c>
      <c r="G5" s="55">
        <f t="shared" si="3"/>
        <v>34</v>
      </c>
      <c r="H5" s="55">
        <f t="shared" si="3"/>
        <v>21</v>
      </c>
      <c r="I5" s="55">
        <f t="shared" si="3"/>
        <v>21</v>
      </c>
      <c r="J5" s="55">
        <f t="shared" si="3"/>
        <v>15</v>
      </c>
      <c r="K5" s="55">
        <f t="shared" si="3"/>
        <v>12</v>
      </c>
      <c r="L5" s="55">
        <f t="shared" si="3"/>
        <v>10</v>
      </c>
      <c r="M5" s="55">
        <f t="shared" si="3"/>
        <v>5</v>
      </c>
    </row>
    <row r="6" spans="1:13" x14ac:dyDescent="0.3">
      <c r="A6" s="45" t="s">
        <v>122</v>
      </c>
      <c r="B6" s="56" t="s">
        <v>64</v>
      </c>
      <c r="C6" s="57">
        <v>2015</v>
      </c>
      <c r="D6" s="53">
        <v>190</v>
      </c>
      <c r="E6" s="55">
        <f t="shared" ref="E6:M6" si="4">E18+E30</f>
        <v>35</v>
      </c>
      <c r="F6" s="55">
        <f t="shared" si="4"/>
        <v>39</v>
      </c>
      <c r="G6" s="55">
        <f t="shared" si="4"/>
        <v>24</v>
      </c>
      <c r="H6" s="55">
        <f t="shared" si="4"/>
        <v>35</v>
      </c>
      <c r="I6" s="55">
        <f t="shared" si="4"/>
        <v>27</v>
      </c>
      <c r="J6" s="55">
        <f t="shared" si="4"/>
        <v>15</v>
      </c>
      <c r="K6" s="55">
        <f t="shared" si="4"/>
        <v>4</v>
      </c>
      <c r="L6" s="55">
        <f t="shared" si="4"/>
        <v>6</v>
      </c>
      <c r="M6" s="55">
        <f t="shared" si="4"/>
        <v>5</v>
      </c>
    </row>
    <row r="7" spans="1:13" x14ac:dyDescent="0.3">
      <c r="A7" s="45" t="s">
        <v>122</v>
      </c>
      <c r="B7" s="56" t="s">
        <v>64</v>
      </c>
      <c r="C7" s="57">
        <v>2016</v>
      </c>
      <c r="D7" s="53">
        <v>201</v>
      </c>
      <c r="E7" s="55">
        <f t="shared" ref="E7:M7" si="5">E19+E31</f>
        <v>40</v>
      </c>
      <c r="F7" s="55">
        <f t="shared" si="5"/>
        <v>46</v>
      </c>
      <c r="G7" s="55">
        <f t="shared" si="5"/>
        <v>23</v>
      </c>
      <c r="H7" s="55">
        <f t="shared" si="5"/>
        <v>31</v>
      </c>
      <c r="I7" s="55">
        <f t="shared" si="5"/>
        <v>25</v>
      </c>
      <c r="J7" s="55">
        <f t="shared" si="5"/>
        <v>15</v>
      </c>
      <c r="K7" s="55">
        <f t="shared" si="5"/>
        <v>7</v>
      </c>
      <c r="L7" s="55">
        <f t="shared" si="5"/>
        <v>6</v>
      </c>
      <c r="M7" s="55">
        <f t="shared" si="5"/>
        <v>5</v>
      </c>
    </row>
    <row r="8" spans="1:13" x14ac:dyDescent="0.3">
      <c r="A8" s="45" t="s">
        <v>122</v>
      </c>
      <c r="B8" s="56" t="s">
        <v>64</v>
      </c>
      <c r="C8" s="57">
        <v>2017</v>
      </c>
      <c r="D8" s="53">
        <v>206</v>
      </c>
      <c r="E8" s="55">
        <f t="shared" ref="E8:M8" si="6">E20+E32</f>
        <v>50</v>
      </c>
      <c r="F8" s="55">
        <f t="shared" si="6"/>
        <v>70</v>
      </c>
      <c r="G8" s="55">
        <f t="shared" si="6"/>
        <v>23</v>
      </c>
      <c r="H8" s="55">
        <f t="shared" si="6"/>
        <v>23</v>
      </c>
      <c r="I8" s="55">
        <f t="shared" si="6"/>
        <v>16</v>
      </c>
      <c r="J8" s="55">
        <f t="shared" si="6"/>
        <v>6</v>
      </c>
      <c r="K8" s="55">
        <f t="shared" si="6"/>
        <v>11</v>
      </c>
      <c r="L8" s="55">
        <f t="shared" si="6"/>
        <v>3</v>
      </c>
      <c r="M8" s="55">
        <f t="shared" si="6"/>
        <v>2</v>
      </c>
    </row>
    <row r="9" spans="1:13" x14ac:dyDescent="0.3">
      <c r="A9" s="45" t="s">
        <v>122</v>
      </c>
      <c r="B9" s="56" t="s">
        <v>64</v>
      </c>
      <c r="C9" s="57">
        <v>2018</v>
      </c>
      <c r="D9" s="53">
        <v>187</v>
      </c>
      <c r="E9" s="55">
        <f t="shared" ref="E9:M9" si="7">E21+E33</f>
        <v>45</v>
      </c>
      <c r="F9" s="55">
        <f t="shared" si="7"/>
        <v>58</v>
      </c>
      <c r="G9" s="55">
        <f t="shared" si="7"/>
        <v>22</v>
      </c>
      <c r="H9" s="55">
        <f t="shared" si="7"/>
        <v>24</v>
      </c>
      <c r="I9" s="55">
        <f t="shared" si="7"/>
        <v>13</v>
      </c>
      <c r="J9" s="55">
        <f t="shared" si="7"/>
        <v>7</v>
      </c>
      <c r="K9" s="55">
        <f t="shared" si="7"/>
        <v>6</v>
      </c>
      <c r="L9" s="55">
        <f t="shared" si="7"/>
        <v>4</v>
      </c>
      <c r="M9" s="55">
        <f t="shared" si="7"/>
        <v>2</v>
      </c>
    </row>
    <row r="10" spans="1:13" x14ac:dyDescent="0.3">
      <c r="A10" s="45" t="s">
        <v>122</v>
      </c>
      <c r="B10" s="56" t="s">
        <v>64</v>
      </c>
      <c r="C10" s="57">
        <v>2019</v>
      </c>
      <c r="D10" s="53">
        <v>250</v>
      </c>
      <c r="E10" s="55">
        <f t="shared" ref="E10:M10" si="8">E22+E34</f>
        <v>51</v>
      </c>
      <c r="F10" s="55">
        <f t="shared" si="8"/>
        <v>87</v>
      </c>
      <c r="G10" s="55">
        <f t="shared" si="8"/>
        <v>29</v>
      </c>
      <c r="H10" s="55">
        <f t="shared" si="8"/>
        <v>30</v>
      </c>
      <c r="I10" s="55">
        <f t="shared" si="8"/>
        <v>23</v>
      </c>
      <c r="J10" s="55">
        <f t="shared" si="8"/>
        <v>7</v>
      </c>
      <c r="K10" s="55">
        <f t="shared" si="8"/>
        <v>4</v>
      </c>
      <c r="L10" s="55">
        <f t="shared" si="8"/>
        <v>5</v>
      </c>
      <c r="M10" s="55">
        <f t="shared" si="8"/>
        <v>5</v>
      </c>
    </row>
    <row r="11" spans="1:13" x14ac:dyDescent="0.3">
      <c r="A11" s="45" t="s">
        <v>122</v>
      </c>
      <c r="B11" s="56" t="s">
        <v>64</v>
      </c>
      <c r="C11" s="57">
        <v>2020</v>
      </c>
      <c r="D11" s="53">
        <v>210</v>
      </c>
      <c r="E11" s="55">
        <f t="shared" ref="E11:M11" si="9">E23+E35</f>
        <v>36</v>
      </c>
      <c r="F11" s="55">
        <f t="shared" si="9"/>
        <v>78</v>
      </c>
      <c r="G11" s="55">
        <f t="shared" si="9"/>
        <v>28</v>
      </c>
      <c r="H11" s="55">
        <f t="shared" si="9"/>
        <v>27</v>
      </c>
      <c r="I11" s="55">
        <f t="shared" si="9"/>
        <v>14</v>
      </c>
      <c r="J11" s="55">
        <f t="shared" si="9"/>
        <v>11</v>
      </c>
      <c r="K11" s="55">
        <f t="shared" si="9"/>
        <v>6</v>
      </c>
      <c r="L11" s="55">
        <f t="shared" si="9"/>
        <v>2</v>
      </c>
      <c r="M11" s="55">
        <f t="shared" si="9"/>
        <v>3</v>
      </c>
    </row>
    <row r="12" spans="1:13" x14ac:dyDescent="0.3">
      <c r="A12" s="45" t="s">
        <v>122</v>
      </c>
      <c r="B12" s="56" t="s">
        <v>64</v>
      </c>
      <c r="C12" s="57">
        <v>2021</v>
      </c>
      <c r="D12" s="53">
        <v>240</v>
      </c>
      <c r="E12" s="55">
        <f t="shared" ref="E12:M12" si="10">E24+E36</f>
        <v>46</v>
      </c>
      <c r="F12" s="55">
        <f t="shared" si="10"/>
        <v>92</v>
      </c>
      <c r="G12" s="55">
        <f t="shared" si="10"/>
        <v>27</v>
      </c>
      <c r="H12" s="55">
        <f t="shared" si="10"/>
        <v>35</v>
      </c>
      <c r="I12" s="55">
        <f t="shared" si="10"/>
        <v>13</v>
      </c>
      <c r="J12" s="55">
        <f t="shared" si="10"/>
        <v>7</v>
      </c>
      <c r="K12" s="55">
        <f t="shared" si="10"/>
        <v>6</v>
      </c>
      <c r="L12" s="55">
        <f t="shared" si="10"/>
        <v>8</v>
      </c>
      <c r="M12" s="55">
        <f t="shared" si="10"/>
        <v>4</v>
      </c>
    </row>
    <row r="13" spans="1:13" x14ac:dyDescent="0.3">
      <c r="A13" s="45" t="s">
        <v>122</v>
      </c>
      <c r="B13" s="58" t="s">
        <v>64</v>
      </c>
      <c r="C13" s="57">
        <v>2022</v>
      </c>
      <c r="D13" s="53">
        <v>276</v>
      </c>
      <c r="E13" s="55">
        <f t="shared" ref="E13:M13" si="11">E25+E37</f>
        <v>57</v>
      </c>
      <c r="F13" s="55">
        <f t="shared" si="11"/>
        <v>123</v>
      </c>
      <c r="G13" s="55">
        <f t="shared" si="11"/>
        <v>37</v>
      </c>
      <c r="H13" s="55">
        <f t="shared" si="11"/>
        <v>26</v>
      </c>
      <c r="I13" s="55">
        <f t="shared" si="11"/>
        <v>8</v>
      </c>
      <c r="J13" s="55">
        <f t="shared" si="11"/>
        <v>14</v>
      </c>
      <c r="K13" s="55">
        <f t="shared" si="11"/>
        <v>3</v>
      </c>
      <c r="L13" s="55">
        <f t="shared" si="11"/>
        <v>1</v>
      </c>
      <c r="M13" s="55">
        <f t="shared" si="11"/>
        <v>4</v>
      </c>
    </row>
    <row r="14" spans="1:13" x14ac:dyDescent="0.3">
      <c r="A14" s="45" t="s">
        <v>122</v>
      </c>
      <c r="B14" s="62" t="s">
        <v>109</v>
      </c>
      <c r="C14" s="57">
        <v>2011</v>
      </c>
      <c r="D14" s="53">
        <v>89</v>
      </c>
      <c r="E14" s="53">
        <v>7</v>
      </c>
      <c r="F14" s="53">
        <v>31</v>
      </c>
      <c r="G14" s="53">
        <v>13</v>
      </c>
      <c r="H14" s="53">
        <v>13</v>
      </c>
      <c r="I14" s="53">
        <v>8</v>
      </c>
      <c r="J14" s="53">
        <v>12</v>
      </c>
      <c r="K14" s="53">
        <v>3</v>
      </c>
      <c r="L14" s="53">
        <v>0</v>
      </c>
      <c r="M14" s="53">
        <v>2</v>
      </c>
    </row>
    <row r="15" spans="1:13" x14ac:dyDescent="0.3">
      <c r="A15" s="45" t="s">
        <v>122</v>
      </c>
      <c r="B15" s="56" t="s">
        <v>109</v>
      </c>
      <c r="C15" s="57">
        <v>2012</v>
      </c>
      <c r="D15" s="53">
        <v>54</v>
      </c>
      <c r="E15" s="53">
        <v>10</v>
      </c>
      <c r="F15" s="53">
        <v>24</v>
      </c>
      <c r="G15" s="53">
        <v>6</v>
      </c>
      <c r="H15" s="53">
        <v>3</v>
      </c>
      <c r="I15" s="53">
        <v>1</v>
      </c>
      <c r="J15" s="53">
        <v>1</v>
      </c>
      <c r="K15" s="53">
        <v>0</v>
      </c>
      <c r="L15" s="53">
        <v>7</v>
      </c>
      <c r="M15" s="53">
        <v>2</v>
      </c>
    </row>
    <row r="16" spans="1:13" x14ac:dyDescent="0.3">
      <c r="A16" s="45" t="s">
        <v>122</v>
      </c>
      <c r="B16" s="56" t="s">
        <v>109</v>
      </c>
      <c r="C16" s="57">
        <v>2013</v>
      </c>
      <c r="D16" s="53">
        <v>60</v>
      </c>
      <c r="E16" s="53">
        <v>18</v>
      </c>
      <c r="F16" s="53">
        <v>17</v>
      </c>
      <c r="G16" s="53">
        <v>8</v>
      </c>
      <c r="H16" s="53">
        <v>3</v>
      </c>
      <c r="I16" s="53">
        <v>5</v>
      </c>
      <c r="J16" s="53">
        <v>4</v>
      </c>
      <c r="K16" s="53">
        <v>2</v>
      </c>
      <c r="L16" s="53">
        <v>2</v>
      </c>
      <c r="M16" s="53">
        <v>1</v>
      </c>
    </row>
    <row r="17" spans="1:13" x14ac:dyDescent="0.3">
      <c r="A17" s="45" t="s">
        <v>122</v>
      </c>
      <c r="B17" s="56" t="s">
        <v>109</v>
      </c>
      <c r="C17" s="57">
        <v>2014</v>
      </c>
      <c r="D17" s="53">
        <v>77</v>
      </c>
      <c r="E17" s="53">
        <v>20</v>
      </c>
      <c r="F17" s="53">
        <v>16</v>
      </c>
      <c r="G17" s="53">
        <v>7</v>
      </c>
      <c r="H17" s="53">
        <v>2</v>
      </c>
      <c r="I17" s="53">
        <v>4</v>
      </c>
      <c r="J17" s="53">
        <v>6</v>
      </c>
      <c r="K17" s="53">
        <v>10</v>
      </c>
      <c r="L17" s="53">
        <v>9</v>
      </c>
      <c r="M17" s="53">
        <v>3</v>
      </c>
    </row>
    <row r="18" spans="1:13" x14ac:dyDescent="0.3">
      <c r="A18" s="45" t="s">
        <v>122</v>
      </c>
      <c r="B18" s="56" t="s">
        <v>109</v>
      </c>
      <c r="C18" s="57">
        <v>2015</v>
      </c>
      <c r="D18" s="53">
        <v>57</v>
      </c>
      <c r="E18" s="53">
        <v>15</v>
      </c>
      <c r="F18" s="53">
        <v>17</v>
      </c>
      <c r="G18" s="53">
        <v>3</v>
      </c>
      <c r="H18" s="53">
        <v>6</v>
      </c>
      <c r="I18" s="53">
        <v>3</v>
      </c>
      <c r="J18" s="53">
        <v>6</v>
      </c>
      <c r="K18" s="53">
        <v>2</v>
      </c>
      <c r="L18" s="53">
        <v>3</v>
      </c>
      <c r="M18" s="53">
        <v>2</v>
      </c>
    </row>
    <row r="19" spans="1:13" x14ac:dyDescent="0.3">
      <c r="A19" s="45" t="s">
        <v>122</v>
      </c>
      <c r="B19" s="56" t="s">
        <v>109</v>
      </c>
      <c r="C19" s="57">
        <v>2016</v>
      </c>
      <c r="D19" s="53">
        <v>60</v>
      </c>
      <c r="E19" s="53">
        <v>19</v>
      </c>
      <c r="F19" s="53">
        <v>14</v>
      </c>
      <c r="G19" s="53">
        <v>6</v>
      </c>
      <c r="H19" s="53">
        <v>3</v>
      </c>
      <c r="I19" s="53">
        <v>0</v>
      </c>
      <c r="J19" s="53">
        <v>5</v>
      </c>
      <c r="K19" s="53">
        <v>5</v>
      </c>
      <c r="L19" s="53">
        <v>3</v>
      </c>
      <c r="M19" s="53">
        <v>5</v>
      </c>
    </row>
    <row r="20" spans="1:13" x14ac:dyDescent="0.3">
      <c r="A20" s="45" t="s">
        <v>122</v>
      </c>
      <c r="B20" s="56" t="s">
        <v>109</v>
      </c>
      <c r="C20" s="57">
        <v>2017</v>
      </c>
      <c r="D20" s="53">
        <v>72</v>
      </c>
      <c r="E20" s="53">
        <v>29</v>
      </c>
      <c r="F20" s="53">
        <v>20</v>
      </c>
      <c r="G20" s="53">
        <v>9</v>
      </c>
      <c r="H20" s="53">
        <v>4</v>
      </c>
      <c r="I20" s="53">
        <v>2</v>
      </c>
      <c r="J20" s="53">
        <v>1</v>
      </c>
      <c r="K20" s="53">
        <v>3</v>
      </c>
      <c r="L20" s="53">
        <v>3</v>
      </c>
      <c r="M20" s="53">
        <v>1</v>
      </c>
    </row>
    <row r="21" spans="1:13" x14ac:dyDescent="0.3">
      <c r="A21" s="45" t="s">
        <v>122</v>
      </c>
      <c r="B21" s="56" t="s">
        <v>109</v>
      </c>
      <c r="C21" s="57">
        <v>2018</v>
      </c>
      <c r="D21" s="53">
        <v>56</v>
      </c>
      <c r="E21" s="53">
        <v>21</v>
      </c>
      <c r="F21" s="53">
        <v>19</v>
      </c>
      <c r="G21" s="53">
        <v>3</v>
      </c>
      <c r="H21" s="53">
        <v>2</v>
      </c>
      <c r="I21" s="53">
        <v>1</v>
      </c>
      <c r="J21" s="53">
        <v>3</v>
      </c>
      <c r="K21" s="53">
        <v>3</v>
      </c>
      <c r="L21" s="53">
        <v>4</v>
      </c>
      <c r="M21" s="53">
        <v>0</v>
      </c>
    </row>
    <row r="22" spans="1:13" x14ac:dyDescent="0.3">
      <c r="A22" s="45" t="s">
        <v>122</v>
      </c>
      <c r="B22" s="56" t="s">
        <v>109</v>
      </c>
      <c r="C22" s="57">
        <v>2019</v>
      </c>
      <c r="D22" s="55">
        <v>71</v>
      </c>
      <c r="E22" s="55">
        <v>27</v>
      </c>
      <c r="F22" s="55">
        <v>26</v>
      </c>
      <c r="G22" s="55">
        <v>9</v>
      </c>
      <c r="H22" s="55">
        <v>5</v>
      </c>
      <c r="I22" s="55">
        <v>0</v>
      </c>
      <c r="J22" s="55">
        <v>1</v>
      </c>
      <c r="K22" s="55">
        <v>0</v>
      </c>
      <c r="L22" s="55">
        <v>0</v>
      </c>
      <c r="M22" s="55">
        <v>3</v>
      </c>
    </row>
    <row r="23" spans="1:13" x14ac:dyDescent="0.3">
      <c r="A23" s="45" t="s">
        <v>122</v>
      </c>
      <c r="B23" s="56" t="s">
        <v>109</v>
      </c>
      <c r="C23" s="57">
        <v>2020</v>
      </c>
      <c r="D23" s="55">
        <v>63</v>
      </c>
      <c r="E23" s="55">
        <v>13</v>
      </c>
      <c r="F23" s="55">
        <v>29</v>
      </c>
      <c r="G23" s="55">
        <v>6</v>
      </c>
      <c r="H23" s="55">
        <v>5</v>
      </c>
      <c r="I23" s="55">
        <v>1</v>
      </c>
      <c r="J23" s="55">
        <v>5</v>
      </c>
      <c r="K23" s="55">
        <v>3</v>
      </c>
      <c r="L23" s="55">
        <v>0</v>
      </c>
      <c r="M23" s="55">
        <v>1</v>
      </c>
    </row>
    <row r="24" spans="1:13" x14ac:dyDescent="0.3">
      <c r="A24" s="45" t="s">
        <v>122</v>
      </c>
      <c r="B24" s="56" t="s">
        <v>109</v>
      </c>
      <c r="C24" s="57">
        <v>2021</v>
      </c>
      <c r="D24" s="55">
        <v>76</v>
      </c>
      <c r="E24" s="55">
        <v>26</v>
      </c>
      <c r="F24" s="55">
        <v>28</v>
      </c>
      <c r="G24" s="55">
        <v>4</v>
      </c>
      <c r="H24" s="55">
        <v>4</v>
      </c>
      <c r="I24" s="55">
        <v>1</v>
      </c>
      <c r="J24" s="55">
        <v>2</v>
      </c>
      <c r="K24" s="55">
        <v>4</v>
      </c>
      <c r="L24" s="55">
        <v>5</v>
      </c>
      <c r="M24" s="55">
        <v>2</v>
      </c>
    </row>
    <row r="25" spans="1:13" x14ac:dyDescent="0.3">
      <c r="A25" s="45" t="s">
        <v>122</v>
      </c>
      <c r="B25" s="58" t="s">
        <v>109</v>
      </c>
      <c r="C25" s="57">
        <v>2022</v>
      </c>
      <c r="D25" s="55">
        <v>95</v>
      </c>
      <c r="E25" s="55">
        <v>27</v>
      </c>
      <c r="F25" s="55">
        <v>44</v>
      </c>
      <c r="G25" s="55">
        <v>5</v>
      </c>
      <c r="H25" s="55">
        <v>8</v>
      </c>
      <c r="I25" s="55">
        <v>1</v>
      </c>
      <c r="J25" s="55">
        <v>5</v>
      </c>
      <c r="K25" s="55">
        <v>2</v>
      </c>
      <c r="L25" s="55">
        <v>1</v>
      </c>
      <c r="M25" s="55">
        <v>2</v>
      </c>
    </row>
    <row r="26" spans="1:13" x14ac:dyDescent="0.3">
      <c r="A26" s="45" t="s">
        <v>122</v>
      </c>
      <c r="B26" s="62" t="s">
        <v>119</v>
      </c>
      <c r="C26" s="57">
        <v>2011</v>
      </c>
      <c r="D26" s="55">
        <v>177</v>
      </c>
      <c r="E26" s="55">
        <v>7</v>
      </c>
      <c r="F26" s="55">
        <v>44</v>
      </c>
      <c r="G26" s="55">
        <v>47</v>
      </c>
      <c r="H26" s="55">
        <v>31</v>
      </c>
      <c r="I26" s="55">
        <v>24</v>
      </c>
      <c r="J26" s="55">
        <v>11</v>
      </c>
      <c r="K26" s="55">
        <v>10</v>
      </c>
      <c r="L26" s="55">
        <v>2</v>
      </c>
      <c r="M26" s="55">
        <v>1</v>
      </c>
    </row>
    <row r="27" spans="1:13" x14ac:dyDescent="0.3">
      <c r="A27" s="45" t="s">
        <v>122</v>
      </c>
      <c r="B27" s="56" t="s">
        <v>119</v>
      </c>
      <c r="C27" s="57">
        <v>2012</v>
      </c>
      <c r="D27" s="55">
        <v>146</v>
      </c>
      <c r="E27" s="55">
        <v>18</v>
      </c>
      <c r="F27" s="55">
        <v>38</v>
      </c>
      <c r="G27" s="55">
        <v>37</v>
      </c>
      <c r="H27" s="55">
        <v>31</v>
      </c>
      <c r="I27" s="55">
        <v>9</v>
      </c>
      <c r="J27" s="55">
        <v>6</v>
      </c>
      <c r="K27" s="55">
        <v>2</v>
      </c>
      <c r="L27" s="55">
        <v>3</v>
      </c>
      <c r="M27" s="55">
        <v>1</v>
      </c>
    </row>
    <row r="28" spans="1:13" x14ac:dyDescent="0.3">
      <c r="A28" s="45" t="s">
        <v>122</v>
      </c>
      <c r="B28" s="56" t="s">
        <v>119</v>
      </c>
      <c r="C28" s="57">
        <v>2013</v>
      </c>
      <c r="D28" s="55">
        <v>128</v>
      </c>
      <c r="E28" s="55">
        <v>16</v>
      </c>
      <c r="F28" s="55">
        <v>32</v>
      </c>
      <c r="G28" s="55">
        <v>24</v>
      </c>
      <c r="H28" s="55">
        <v>26</v>
      </c>
      <c r="I28" s="55">
        <v>15</v>
      </c>
      <c r="J28" s="55">
        <v>7</v>
      </c>
      <c r="K28" s="55">
        <v>3</v>
      </c>
      <c r="L28" s="55">
        <v>0</v>
      </c>
      <c r="M28" s="55">
        <v>5</v>
      </c>
    </row>
    <row r="29" spans="1:13" x14ac:dyDescent="0.3">
      <c r="A29" s="45" t="s">
        <v>122</v>
      </c>
      <c r="B29" s="56" t="s">
        <v>119</v>
      </c>
      <c r="C29" s="57">
        <v>2014</v>
      </c>
      <c r="D29" s="55">
        <v>120</v>
      </c>
      <c r="E29" s="55">
        <v>13</v>
      </c>
      <c r="F29" s="55">
        <v>30</v>
      </c>
      <c r="G29" s="55">
        <v>27</v>
      </c>
      <c r="H29" s="55">
        <v>19</v>
      </c>
      <c r="I29" s="55">
        <v>17</v>
      </c>
      <c r="J29" s="55">
        <v>9</v>
      </c>
      <c r="K29" s="55">
        <v>2</v>
      </c>
      <c r="L29" s="55">
        <v>1</v>
      </c>
      <c r="M29" s="55">
        <v>2</v>
      </c>
    </row>
    <row r="30" spans="1:13" x14ac:dyDescent="0.3">
      <c r="A30" s="45" t="s">
        <v>122</v>
      </c>
      <c r="B30" s="56" t="s">
        <v>119</v>
      </c>
      <c r="C30" s="57">
        <v>2015</v>
      </c>
      <c r="D30" s="55">
        <v>133</v>
      </c>
      <c r="E30" s="55">
        <v>20</v>
      </c>
      <c r="F30" s="55">
        <v>22</v>
      </c>
      <c r="G30" s="55">
        <v>21</v>
      </c>
      <c r="H30" s="55">
        <v>29</v>
      </c>
      <c r="I30" s="55">
        <v>24</v>
      </c>
      <c r="J30" s="55">
        <v>9</v>
      </c>
      <c r="K30" s="55">
        <v>2</v>
      </c>
      <c r="L30" s="55">
        <v>3</v>
      </c>
      <c r="M30" s="55">
        <v>3</v>
      </c>
    </row>
    <row r="31" spans="1:13" x14ac:dyDescent="0.3">
      <c r="A31" s="45" t="s">
        <v>122</v>
      </c>
      <c r="B31" s="56" t="s">
        <v>119</v>
      </c>
      <c r="C31" s="57">
        <v>2016</v>
      </c>
      <c r="D31" s="55">
        <v>138</v>
      </c>
      <c r="E31" s="55">
        <v>21</v>
      </c>
      <c r="F31" s="55">
        <v>32</v>
      </c>
      <c r="G31" s="55">
        <v>17</v>
      </c>
      <c r="H31" s="55">
        <v>28</v>
      </c>
      <c r="I31" s="55">
        <v>25</v>
      </c>
      <c r="J31" s="55">
        <v>10</v>
      </c>
      <c r="K31" s="55">
        <v>2</v>
      </c>
      <c r="L31" s="55">
        <v>3</v>
      </c>
      <c r="M31" s="55">
        <v>0</v>
      </c>
    </row>
    <row r="32" spans="1:13" x14ac:dyDescent="0.3">
      <c r="A32" s="45" t="s">
        <v>122</v>
      </c>
      <c r="B32" s="56" t="s">
        <v>119</v>
      </c>
      <c r="C32" s="57">
        <v>2017</v>
      </c>
      <c r="D32" s="55">
        <v>132</v>
      </c>
      <c r="E32" s="55">
        <v>21</v>
      </c>
      <c r="F32" s="55">
        <v>50</v>
      </c>
      <c r="G32" s="55">
        <v>14</v>
      </c>
      <c r="H32" s="55">
        <v>19</v>
      </c>
      <c r="I32" s="55">
        <v>14</v>
      </c>
      <c r="J32" s="55">
        <v>5</v>
      </c>
      <c r="K32" s="55">
        <v>8</v>
      </c>
      <c r="L32" s="55">
        <v>0</v>
      </c>
      <c r="M32" s="55">
        <v>1</v>
      </c>
    </row>
    <row r="33" spans="1:13" x14ac:dyDescent="0.3">
      <c r="A33" s="45" t="s">
        <v>122</v>
      </c>
      <c r="B33" s="56" t="s">
        <v>119</v>
      </c>
      <c r="C33" s="57">
        <v>2018</v>
      </c>
      <c r="D33" s="55">
        <v>125</v>
      </c>
      <c r="E33" s="55">
        <v>24</v>
      </c>
      <c r="F33" s="55">
        <v>39</v>
      </c>
      <c r="G33" s="55">
        <v>19</v>
      </c>
      <c r="H33" s="55">
        <v>22</v>
      </c>
      <c r="I33" s="55">
        <v>12</v>
      </c>
      <c r="J33" s="55">
        <v>4</v>
      </c>
      <c r="K33" s="55">
        <v>3</v>
      </c>
      <c r="L33" s="55">
        <v>0</v>
      </c>
      <c r="M33" s="55">
        <v>2</v>
      </c>
    </row>
    <row r="34" spans="1:13" x14ac:dyDescent="0.3">
      <c r="A34" s="45" t="s">
        <v>122</v>
      </c>
      <c r="B34" s="56" t="s">
        <v>119</v>
      </c>
      <c r="C34" s="57">
        <v>2019</v>
      </c>
      <c r="D34" s="55">
        <v>170</v>
      </c>
      <c r="E34" s="55">
        <v>24</v>
      </c>
      <c r="F34" s="55">
        <v>61</v>
      </c>
      <c r="G34" s="55">
        <v>20</v>
      </c>
      <c r="H34" s="55">
        <v>25</v>
      </c>
      <c r="I34" s="55">
        <v>23</v>
      </c>
      <c r="J34" s="55">
        <v>6</v>
      </c>
      <c r="K34" s="55">
        <v>4</v>
      </c>
      <c r="L34" s="55">
        <v>5</v>
      </c>
      <c r="M34" s="55">
        <v>2</v>
      </c>
    </row>
    <row r="35" spans="1:13" x14ac:dyDescent="0.3">
      <c r="A35" s="45" t="s">
        <v>122</v>
      </c>
      <c r="B35" s="56" t="s">
        <v>119</v>
      </c>
      <c r="C35" s="57">
        <v>2020</v>
      </c>
      <c r="D35" s="55">
        <v>142</v>
      </c>
      <c r="E35" s="55">
        <v>23</v>
      </c>
      <c r="F35" s="55">
        <v>49</v>
      </c>
      <c r="G35" s="55">
        <v>22</v>
      </c>
      <c r="H35" s="55">
        <v>22</v>
      </c>
      <c r="I35" s="55">
        <v>13</v>
      </c>
      <c r="J35" s="55">
        <v>6</v>
      </c>
      <c r="K35" s="55">
        <v>3</v>
      </c>
      <c r="L35" s="55">
        <v>2</v>
      </c>
      <c r="M35" s="55">
        <v>2</v>
      </c>
    </row>
    <row r="36" spans="1:13" x14ac:dyDescent="0.3">
      <c r="A36" s="45" t="s">
        <v>122</v>
      </c>
      <c r="B36" s="56" t="s">
        <v>119</v>
      </c>
      <c r="C36" s="57">
        <v>2021</v>
      </c>
      <c r="D36" s="55">
        <v>162</v>
      </c>
      <c r="E36" s="55">
        <v>20</v>
      </c>
      <c r="F36" s="55">
        <v>64</v>
      </c>
      <c r="G36" s="55">
        <v>23</v>
      </c>
      <c r="H36" s="55">
        <v>31</v>
      </c>
      <c r="I36" s="55">
        <v>12</v>
      </c>
      <c r="J36" s="55">
        <v>5</v>
      </c>
      <c r="K36" s="55">
        <v>2</v>
      </c>
      <c r="L36" s="55">
        <v>3</v>
      </c>
      <c r="M36" s="55">
        <v>2</v>
      </c>
    </row>
    <row r="37" spans="1:13" x14ac:dyDescent="0.3">
      <c r="A37" s="60" t="s">
        <v>122</v>
      </c>
      <c r="B37" s="58" t="s">
        <v>119</v>
      </c>
      <c r="C37" s="63">
        <v>2022</v>
      </c>
      <c r="D37" s="55">
        <v>178</v>
      </c>
      <c r="E37" s="55">
        <v>30</v>
      </c>
      <c r="F37" s="55">
        <v>79</v>
      </c>
      <c r="G37" s="55">
        <v>32</v>
      </c>
      <c r="H37" s="55">
        <v>18</v>
      </c>
      <c r="I37" s="55">
        <v>7</v>
      </c>
      <c r="J37" s="55">
        <v>9</v>
      </c>
      <c r="K37" s="55">
        <v>1</v>
      </c>
      <c r="L37" s="55">
        <v>0</v>
      </c>
      <c r="M37" s="55">
        <v>2</v>
      </c>
    </row>
  </sheetData>
  <sortState xmlns:xlrd2="http://schemas.microsoft.com/office/spreadsheetml/2017/richdata2" ref="A2:M37">
    <sortCondition ref="B2:B37"/>
    <sortCondition ref="C2:C37"/>
  </sortState>
  <phoneticPr fontId="1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17417-AA66-4761-B3DA-BD120A82DA70}">
  <dimension ref="A1:R13"/>
  <sheetViews>
    <sheetView workbookViewId="0"/>
  </sheetViews>
  <sheetFormatPr defaultRowHeight="16.5" x14ac:dyDescent="0.3"/>
  <cols>
    <col min="2" max="2" width="11" bestFit="1" customWidth="1"/>
    <col min="13" max="13" width="11" bestFit="1" customWidth="1"/>
  </cols>
  <sheetData>
    <row r="1" spans="1:18" x14ac:dyDescent="0.3">
      <c r="A1" s="59" t="s">
        <v>120</v>
      </c>
      <c r="B1" s="59" t="s">
        <v>121</v>
      </c>
      <c r="C1" s="59" t="s">
        <v>16</v>
      </c>
      <c r="D1" s="54" t="s">
        <v>64</v>
      </c>
      <c r="E1" s="54" t="s">
        <v>126</v>
      </c>
      <c r="F1" s="54" t="s">
        <v>127</v>
      </c>
      <c r="G1" s="54" t="s">
        <v>128</v>
      </c>
      <c r="H1" s="54" t="s">
        <v>129</v>
      </c>
      <c r="I1" s="54" t="s">
        <v>130</v>
      </c>
      <c r="J1" s="54" t="s">
        <v>131</v>
      </c>
      <c r="K1" s="54" t="s">
        <v>132</v>
      </c>
      <c r="L1" s="54" t="s">
        <v>133</v>
      </c>
      <c r="M1" s="54" t="s">
        <v>134</v>
      </c>
      <c r="N1" s="54" t="s">
        <v>135</v>
      </c>
      <c r="O1" s="54" t="s">
        <v>136</v>
      </c>
      <c r="P1" s="54" t="s">
        <v>137</v>
      </c>
      <c r="Q1" s="54" t="s">
        <v>98</v>
      </c>
      <c r="R1" s="54" t="s">
        <v>107</v>
      </c>
    </row>
    <row r="2" spans="1:18" x14ac:dyDescent="0.3">
      <c r="A2" s="64" t="s">
        <v>138</v>
      </c>
      <c r="B2" s="64" t="s">
        <v>122</v>
      </c>
      <c r="C2" s="26">
        <v>2011</v>
      </c>
      <c r="D2" s="61">
        <v>340</v>
      </c>
      <c r="E2" s="61">
        <v>0</v>
      </c>
      <c r="F2" s="61">
        <v>1</v>
      </c>
      <c r="G2" s="61">
        <v>1</v>
      </c>
      <c r="H2" s="61">
        <v>0</v>
      </c>
      <c r="I2" s="61">
        <v>3</v>
      </c>
      <c r="J2" s="61">
        <v>3</v>
      </c>
      <c r="K2" s="61">
        <v>8</v>
      </c>
      <c r="L2" s="61">
        <v>17</v>
      </c>
      <c r="M2" s="61">
        <v>0</v>
      </c>
      <c r="N2" s="61">
        <v>5</v>
      </c>
      <c r="O2" s="61">
        <v>6</v>
      </c>
      <c r="P2" s="61">
        <v>153</v>
      </c>
      <c r="Q2" s="61">
        <v>45</v>
      </c>
      <c r="R2" s="61">
        <v>98</v>
      </c>
    </row>
    <row r="3" spans="1:18" x14ac:dyDescent="0.3">
      <c r="A3" s="64" t="s">
        <v>138</v>
      </c>
      <c r="B3" s="64" t="s">
        <v>122</v>
      </c>
      <c r="C3" s="26">
        <v>2012</v>
      </c>
      <c r="D3" s="61">
        <v>270</v>
      </c>
      <c r="E3" s="61">
        <v>0</v>
      </c>
      <c r="F3" s="61">
        <v>2</v>
      </c>
      <c r="G3" s="61">
        <v>10</v>
      </c>
      <c r="H3" s="61">
        <v>1</v>
      </c>
      <c r="I3" s="61">
        <v>3</v>
      </c>
      <c r="J3" s="61">
        <v>4</v>
      </c>
      <c r="K3" s="61">
        <v>5</v>
      </c>
      <c r="L3" s="61">
        <v>8</v>
      </c>
      <c r="M3" s="61">
        <v>1</v>
      </c>
      <c r="N3" s="61">
        <v>4</v>
      </c>
      <c r="O3" s="61">
        <v>8</v>
      </c>
      <c r="P3" s="61">
        <v>139</v>
      </c>
      <c r="Q3" s="61">
        <v>12</v>
      </c>
      <c r="R3" s="61">
        <v>73</v>
      </c>
    </row>
    <row r="4" spans="1:18" x14ac:dyDescent="0.3">
      <c r="A4" s="64" t="s">
        <v>138</v>
      </c>
      <c r="B4" s="64" t="s">
        <v>122</v>
      </c>
      <c r="C4" s="26">
        <v>2013</v>
      </c>
      <c r="D4" s="61">
        <v>260</v>
      </c>
      <c r="E4" s="61">
        <v>0</v>
      </c>
      <c r="F4" s="61">
        <v>1</v>
      </c>
      <c r="G4" s="61">
        <v>2</v>
      </c>
      <c r="H4" s="61">
        <v>0</v>
      </c>
      <c r="I4" s="61">
        <v>3</v>
      </c>
      <c r="J4" s="61">
        <v>2</v>
      </c>
      <c r="K4" s="61">
        <v>10</v>
      </c>
      <c r="L4" s="61">
        <v>21</v>
      </c>
      <c r="M4" s="61">
        <v>0</v>
      </c>
      <c r="N4" s="61">
        <v>4</v>
      </c>
      <c r="O4" s="61">
        <v>9</v>
      </c>
      <c r="P4" s="61">
        <v>85</v>
      </c>
      <c r="Q4" s="61">
        <v>32</v>
      </c>
      <c r="R4" s="61">
        <v>91</v>
      </c>
    </row>
    <row r="5" spans="1:18" x14ac:dyDescent="0.3">
      <c r="A5" s="64" t="s">
        <v>138</v>
      </c>
      <c r="B5" s="64" t="s">
        <v>122</v>
      </c>
      <c r="C5" s="26">
        <v>2014</v>
      </c>
      <c r="D5" s="61">
        <v>252</v>
      </c>
      <c r="E5" s="61">
        <v>0</v>
      </c>
      <c r="F5" s="61">
        <v>4</v>
      </c>
      <c r="G5" s="61">
        <v>11</v>
      </c>
      <c r="H5" s="61">
        <v>0</v>
      </c>
      <c r="I5" s="61">
        <v>0</v>
      </c>
      <c r="J5" s="61">
        <v>5</v>
      </c>
      <c r="K5" s="61">
        <v>11</v>
      </c>
      <c r="L5" s="61">
        <v>28</v>
      </c>
      <c r="M5" s="61">
        <v>2</v>
      </c>
      <c r="N5" s="61">
        <v>1</v>
      </c>
      <c r="O5" s="61">
        <v>4</v>
      </c>
      <c r="P5" s="61">
        <v>109</v>
      </c>
      <c r="Q5" s="61">
        <v>4</v>
      </c>
      <c r="R5" s="61">
        <v>73</v>
      </c>
    </row>
    <row r="6" spans="1:18" x14ac:dyDescent="0.3">
      <c r="A6" s="64" t="s">
        <v>138</v>
      </c>
      <c r="B6" s="64" t="s">
        <v>122</v>
      </c>
      <c r="C6" s="26">
        <v>2015</v>
      </c>
      <c r="D6" s="61">
        <v>252</v>
      </c>
      <c r="E6" s="61">
        <v>0</v>
      </c>
      <c r="F6" s="61">
        <v>1</v>
      </c>
      <c r="G6" s="61">
        <v>1</v>
      </c>
      <c r="H6" s="61">
        <v>2</v>
      </c>
      <c r="I6" s="61">
        <v>5</v>
      </c>
      <c r="J6" s="61">
        <v>4</v>
      </c>
      <c r="K6" s="61">
        <v>9</v>
      </c>
      <c r="L6" s="61">
        <v>16</v>
      </c>
      <c r="M6" s="61">
        <v>2</v>
      </c>
      <c r="N6" s="61">
        <v>2</v>
      </c>
      <c r="O6" s="61">
        <v>4</v>
      </c>
      <c r="P6" s="61">
        <v>111</v>
      </c>
      <c r="Q6" s="61">
        <v>6</v>
      </c>
      <c r="R6" s="61">
        <v>89</v>
      </c>
    </row>
    <row r="7" spans="1:18" x14ac:dyDescent="0.3">
      <c r="A7" s="64" t="s">
        <v>138</v>
      </c>
      <c r="B7" s="64" t="s">
        <v>122</v>
      </c>
      <c r="C7" s="26">
        <v>2016</v>
      </c>
      <c r="D7" s="61">
        <v>305</v>
      </c>
      <c r="E7" s="61">
        <v>0</v>
      </c>
      <c r="F7" s="61">
        <v>0</v>
      </c>
      <c r="G7" s="61">
        <v>6</v>
      </c>
      <c r="H7" s="61">
        <v>1</v>
      </c>
      <c r="I7" s="61">
        <v>5</v>
      </c>
      <c r="J7" s="61">
        <v>9</v>
      </c>
      <c r="K7" s="61">
        <v>14</v>
      </c>
      <c r="L7" s="61">
        <v>33</v>
      </c>
      <c r="M7" s="61">
        <v>3</v>
      </c>
      <c r="N7" s="61">
        <v>3</v>
      </c>
      <c r="O7" s="61">
        <v>10</v>
      </c>
      <c r="P7" s="61">
        <v>118</v>
      </c>
      <c r="Q7" s="61">
        <v>14</v>
      </c>
      <c r="R7" s="61">
        <v>89</v>
      </c>
    </row>
    <row r="8" spans="1:18" x14ac:dyDescent="0.3">
      <c r="A8" s="64" t="s">
        <v>138</v>
      </c>
      <c r="B8" s="64" t="s">
        <v>122</v>
      </c>
      <c r="C8" s="26">
        <v>2017</v>
      </c>
      <c r="D8" s="61">
        <v>285</v>
      </c>
      <c r="E8" s="61">
        <v>0</v>
      </c>
      <c r="F8" s="61">
        <v>0</v>
      </c>
      <c r="G8" s="61">
        <v>3</v>
      </c>
      <c r="H8" s="61">
        <v>4</v>
      </c>
      <c r="I8" s="61">
        <v>3</v>
      </c>
      <c r="J8" s="61">
        <v>2</v>
      </c>
      <c r="K8" s="61">
        <v>10</v>
      </c>
      <c r="L8" s="61">
        <v>27</v>
      </c>
      <c r="M8" s="61">
        <v>3</v>
      </c>
      <c r="N8" s="61">
        <v>8</v>
      </c>
      <c r="O8" s="61">
        <v>2</v>
      </c>
      <c r="P8" s="61">
        <v>127</v>
      </c>
      <c r="Q8" s="61">
        <v>7</v>
      </c>
      <c r="R8" s="61">
        <v>89</v>
      </c>
    </row>
    <row r="9" spans="1:18" x14ac:dyDescent="0.3">
      <c r="A9" s="64" t="s">
        <v>138</v>
      </c>
      <c r="B9" s="64" t="s">
        <v>122</v>
      </c>
      <c r="C9" s="26">
        <v>2018</v>
      </c>
      <c r="D9" s="61">
        <v>260</v>
      </c>
      <c r="E9" s="61">
        <v>1</v>
      </c>
      <c r="F9" s="61">
        <v>1</v>
      </c>
      <c r="G9" s="61">
        <v>0</v>
      </c>
      <c r="H9" s="61">
        <v>0</v>
      </c>
      <c r="I9" s="61">
        <v>0</v>
      </c>
      <c r="J9" s="61">
        <v>7</v>
      </c>
      <c r="K9" s="61">
        <v>7</v>
      </c>
      <c r="L9" s="61">
        <v>24</v>
      </c>
      <c r="M9" s="61">
        <v>3</v>
      </c>
      <c r="N9" s="61">
        <v>3</v>
      </c>
      <c r="O9" s="61">
        <v>13</v>
      </c>
      <c r="P9" s="61">
        <v>114</v>
      </c>
      <c r="Q9" s="61">
        <v>4</v>
      </c>
      <c r="R9" s="61">
        <v>83</v>
      </c>
    </row>
    <row r="10" spans="1:18" x14ac:dyDescent="0.3">
      <c r="A10" s="64" t="s">
        <v>138</v>
      </c>
      <c r="B10" s="64" t="s">
        <v>122</v>
      </c>
      <c r="C10" s="26">
        <v>2019</v>
      </c>
      <c r="D10" s="61">
        <v>351</v>
      </c>
      <c r="E10" s="61">
        <v>0</v>
      </c>
      <c r="F10" s="61">
        <v>3</v>
      </c>
      <c r="G10" s="61">
        <v>0</v>
      </c>
      <c r="H10" s="61">
        <v>1</v>
      </c>
      <c r="I10" s="61">
        <v>2</v>
      </c>
      <c r="J10" s="61">
        <v>4</v>
      </c>
      <c r="K10" s="61">
        <v>17</v>
      </c>
      <c r="L10" s="61">
        <v>29</v>
      </c>
      <c r="M10" s="61">
        <v>3</v>
      </c>
      <c r="N10" s="61">
        <v>2</v>
      </c>
      <c r="O10" s="61">
        <v>15</v>
      </c>
      <c r="P10" s="61">
        <v>129</v>
      </c>
      <c r="Q10" s="61">
        <v>6</v>
      </c>
      <c r="R10" s="61">
        <v>140</v>
      </c>
    </row>
    <row r="11" spans="1:18" x14ac:dyDescent="0.3">
      <c r="A11" s="64" t="s">
        <v>138</v>
      </c>
      <c r="B11" s="64" t="s">
        <v>122</v>
      </c>
      <c r="C11" s="26">
        <v>2020</v>
      </c>
      <c r="D11" s="61">
        <v>296</v>
      </c>
      <c r="E11" s="61">
        <v>0</v>
      </c>
      <c r="F11" s="61">
        <v>1</v>
      </c>
      <c r="G11" s="61">
        <v>1</v>
      </c>
      <c r="H11" s="61">
        <v>0</v>
      </c>
      <c r="I11" s="61">
        <v>6</v>
      </c>
      <c r="J11" s="61">
        <v>3</v>
      </c>
      <c r="K11" s="61">
        <v>15</v>
      </c>
      <c r="L11" s="61">
        <v>23</v>
      </c>
      <c r="M11" s="61">
        <v>0</v>
      </c>
      <c r="N11" s="61">
        <v>1</v>
      </c>
      <c r="O11" s="61">
        <v>8</v>
      </c>
      <c r="P11" s="61">
        <v>106</v>
      </c>
      <c r="Q11" s="61">
        <v>9</v>
      </c>
      <c r="R11" s="61">
        <v>123</v>
      </c>
    </row>
    <row r="12" spans="1:18" x14ac:dyDescent="0.3">
      <c r="A12" s="64" t="s">
        <v>138</v>
      </c>
      <c r="B12" s="64" t="s">
        <v>122</v>
      </c>
      <c r="C12" s="26">
        <v>2021</v>
      </c>
      <c r="D12" s="61">
        <v>318</v>
      </c>
      <c r="E12" s="61">
        <v>0</v>
      </c>
      <c r="F12" s="61">
        <v>2</v>
      </c>
      <c r="G12" s="61">
        <v>4</v>
      </c>
      <c r="H12" s="61">
        <v>0</v>
      </c>
      <c r="I12" s="61">
        <v>7</v>
      </c>
      <c r="J12" s="61">
        <v>9</v>
      </c>
      <c r="K12" s="61">
        <v>14</v>
      </c>
      <c r="L12" s="61">
        <v>43</v>
      </c>
      <c r="M12" s="61">
        <v>1</v>
      </c>
      <c r="N12" s="61">
        <v>5</v>
      </c>
      <c r="O12" s="61">
        <v>23</v>
      </c>
      <c r="P12" s="61">
        <v>102</v>
      </c>
      <c r="Q12" s="61">
        <v>20</v>
      </c>
      <c r="R12" s="61">
        <v>88</v>
      </c>
    </row>
    <row r="13" spans="1:18" x14ac:dyDescent="0.3">
      <c r="A13" s="64" t="s">
        <v>138</v>
      </c>
      <c r="B13" s="64" t="s">
        <v>122</v>
      </c>
      <c r="C13" s="41">
        <v>2022</v>
      </c>
      <c r="D13" s="61">
        <v>321</v>
      </c>
      <c r="E13" s="61">
        <v>0</v>
      </c>
      <c r="F13" s="61">
        <v>1</v>
      </c>
      <c r="G13" s="61">
        <v>1</v>
      </c>
      <c r="H13" s="61">
        <v>0</v>
      </c>
      <c r="I13" s="61">
        <v>1</v>
      </c>
      <c r="J13" s="61">
        <v>7</v>
      </c>
      <c r="K13" s="61">
        <v>19</v>
      </c>
      <c r="L13" s="61">
        <v>22</v>
      </c>
      <c r="M13" s="61">
        <v>1</v>
      </c>
      <c r="N13" s="61">
        <v>4</v>
      </c>
      <c r="O13" s="61">
        <v>14</v>
      </c>
      <c r="P13" s="61">
        <v>108</v>
      </c>
      <c r="Q13" s="61">
        <v>13</v>
      </c>
      <c r="R13" s="61">
        <v>130</v>
      </c>
    </row>
  </sheetData>
  <phoneticPr fontId="19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9E28C7-5FE7-4B2F-B7DF-019EF9560A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죄종별 범죄발생 및 검거현황(서울)</vt:lpstr>
      <vt:lpstr>범죄 발생 및 검거 현황(서울청)</vt:lpstr>
      <vt:lpstr>범죄발생지</vt:lpstr>
      <vt:lpstr>범죄발생 지역</vt:lpstr>
      <vt:lpstr>범죄발생 장소</vt:lpstr>
      <vt:lpstr>범죄발생 시간</vt:lpstr>
      <vt:lpstr>피해자 성별 연령</vt:lpstr>
      <vt:lpstr>범죄자와 피해자와의 관계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장윤주[ 학부졸업 / 경제통계학부 빅데이터전공 ]</dc:creator>
  <cp:lastModifiedBy>장윤주[ 학부졸업 / 경제통계학부 빅데이터전공 ]</cp:lastModifiedBy>
  <dcterms:created xsi:type="dcterms:W3CDTF">2025-09-22T00:15:44Z</dcterms:created>
  <dcterms:modified xsi:type="dcterms:W3CDTF">2025-09-22T05:04:17Z</dcterms:modified>
</cp:coreProperties>
</file>